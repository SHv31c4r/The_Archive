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shv31\Desktop\"/>
    </mc:Choice>
  </mc:AlternateContent>
  <xr:revisionPtr revIDLastSave="0" documentId="13_ncr:1_{55CE4DC5-ED7D-461D-83AE-90173CF899D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Лист1" sheetId="2" r:id="rId2"/>
    <sheet name="Лист2" sheetId="3" r:id="rId3"/>
    <sheet name="Лист3" sheetId="4" r:id="rId4"/>
  </sheets>
  <definedNames>
    <definedName name="_xlnm._FilterDatabase" localSheetId="1" hidden="1">Лист1!$A$1:$B$52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1" i="2" l="1"/>
  <c r="Z50" i="2"/>
  <c r="Y50" i="2"/>
  <c r="Y49" i="2"/>
  <c r="Y48" i="2"/>
  <c r="Y47" i="2"/>
  <c r="X49" i="2"/>
  <c r="X47" i="2"/>
  <c r="Y46" i="2"/>
  <c r="Y45" i="2"/>
  <c r="X45" i="2"/>
  <c r="X44" i="2"/>
  <c r="W47" i="2"/>
  <c r="W44" i="2"/>
  <c r="X43" i="2"/>
  <c r="X42" i="2"/>
  <c r="X41" i="2"/>
  <c r="X40" i="2"/>
  <c r="W42" i="2"/>
  <c r="W40" i="2"/>
  <c r="V44" i="2"/>
  <c r="V40" i="2"/>
  <c r="W38" i="2"/>
  <c r="W39" i="2"/>
  <c r="W37" i="2"/>
  <c r="W36" i="2"/>
  <c r="V38" i="2"/>
  <c r="V36" i="2"/>
  <c r="U40" i="2"/>
  <c r="U36" i="2"/>
  <c r="W35" i="2"/>
  <c r="W34" i="2"/>
  <c r="V34" i="2"/>
  <c r="V33" i="2"/>
  <c r="V32" i="2"/>
  <c r="V31" i="2"/>
  <c r="U33" i="2"/>
  <c r="U31" i="2"/>
  <c r="T36" i="2"/>
  <c r="T31" i="2"/>
  <c r="V30" i="2"/>
  <c r="V29" i="2"/>
  <c r="U29" i="2"/>
  <c r="U28" i="2"/>
  <c r="V27" i="2"/>
  <c r="V26" i="2"/>
  <c r="U26" i="2"/>
  <c r="U25" i="2"/>
  <c r="T28" i="2"/>
  <c r="T25" i="2"/>
  <c r="S31" i="2"/>
  <c r="S25" i="2"/>
  <c r="U24" i="2"/>
  <c r="U23" i="2"/>
  <c r="U22" i="2"/>
  <c r="U21" i="2"/>
  <c r="T23" i="2"/>
  <c r="T21" i="2"/>
  <c r="U20" i="2"/>
  <c r="U19" i="2"/>
  <c r="T19" i="2"/>
  <c r="T18" i="2"/>
  <c r="S21" i="2"/>
  <c r="S18" i="2"/>
  <c r="R25" i="2"/>
  <c r="R18" i="2"/>
  <c r="T17" i="2"/>
  <c r="T16" i="2"/>
  <c r="T15" i="2"/>
  <c r="T14" i="2"/>
  <c r="S16" i="2"/>
  <c r="S14" i="2"/>
  <c r="T13" i="2"/>
  <c r="T12" i="2"/>
  <c r="S12" i="2"/>
  <c r="S11" i="2"/>
  <c r="R14" i="2"/>
  <c r="R11" i="2"/>
  <c r="Q18" i="2"/>
  <c r="Q11" i="2"/>
  <c r="S6" i="2"/>
  <c r="S5" i="2"/>
  <c r="R5" i="2"/>
  <c r="R4" i="2"/>
  <c r="S10" i="2"/>
  <c r="S9" i="2"/>
  <c r="S8" i="2"/>
  <c r="S7" i="2"/>
  <c r="R9" i="2"/>
  <c r="R7" i="2"/>
  <c r="Q7" i="2"/>
  <c r="Q4" i="2"/>
  <c r="P11" i="2"/>
  <c r="P4" i="2"/>
  <c r="P3" i="2"/>
  <c r="P2" i="2"/>
  <c r="O4" i="2"/>
  <c r="O2" i="2"/>
  <c r="D69" i="2"/>
  <c r="E54" i="1"/>
  <c r="C52" i="1"/>
  <c r="D18" i="1" s="1"/>
  <c r="E18" i="1" s="1"/>
  <c r="E69" i="2" l="1"/>
  <c r="F69" i="2"/>
  <c r="D37" i="1"/>
  <c r="E37" i="1" s="1"/>
  <c r="D21" i="1"/>
  <c r="E21" i="1" s="1"/>
  <c r="D5" i="1"/>
  <c r="E5" i="1" s="1"/>
  <c r="D2" i="1"/>
  <c r="E2" i="1" s="1"/>
  <c r="D36" i="1"/>
  <c r="E36" i="1" s="1"/>
  <c r="D20" i="1"/>
  <c r="E20" i="1" s="1"/>
  <c r="D4" i="1"/>
  <c r="E4" i="1" s="1"/>
  <c r="D49" i="1"/>
  <c r="E49" i="1" s="1"/>
  <c r="D33" i="1"/>
  <c r="E33" i="1" s="1"/>
  <c r="D17" i="1"/>
  <c r="E17" i="1" s="1"/>
  <c r="D48" i="1"/>
  <c r="E48" i="1" s="1"/>
  <c r="D32" i="1"/>
  <c r="E32" i="1" s="1"/>
  <c r="D16" i="1"/>
  <c r="E16" i="1" s="1"/>
  <c r="D47" i="1"/>
  <c r="E47" i="1" s="1"/>
  <c r="D31" i="1"/>
  <c r="E31" i="1" s="1"/>
  <c r="D15" i="1"/>
  <c r="E15" i="1" s="1"/>
  <c r="D46" i="1"/>
  <c r="E46" i="1" s="1"/>
  <c r="D30" i="1"/>
  <c r="E30" i="1" s="1"/>
  <c r="D14" i="1"/>
  <c r="E14" i="1" s="1"/>
  <c r="D45" i="1"/>
  <c r="E45" i="1" s="1"/>
  <c r="D29" i="1"/>
  <c r="E29" i="1" s="1"/>
  <c r="D13" i="1"/>
  <c r="E13" i="1" s="1"/>
  <c r="D44" i="1"/>
  <c r="E44" i="1" s="1"/>
  <c r="D28" i="1"/>
  <c r="E28" i="1" s="1"/>
  <c r="D12" i="1"/>
  <c r="E12" i="1" s="1"/>
  <c r="D43" i="1"/>
  <c r="E43" i="1" s="1"/>
  <c r="D27" i="1"/>
  <c r="E27" i="1" s="1"/>
  <c r="D11" i="1"/>
  <c r="E11" i="1" s="1"/>
  <c r="D42" i="1"/>
  <c r="E42" i="1" s="1"/>
  <c r="D26" i="1"/>
  <c r="E26" i="1" s="1"/>
  <c r="D10" i="1"/>
  <c r="E10" i="1" s="1"/>
  <c r="D41" i="1"/>
  <c r="E41" i="1" s="1"/>
  <c r="D25" i="1"/>
  <c r="E25" i="1" s="1"/>
  <c r="D9" i="1"/>
  <c r="E9" i="1" s="1"/>
  <c r="D40" i="1"/>
  <c r="E40" i="1" s="1"/>
  <c r="D24" i="1"/>
  <c r="E24" i="1" s="1"/>
  <c r="D8" i="1"/>
  <c r="E8" i="1" s="1"/>
  <c r="D39" i="1"/>
  <c r="E39" i="1" s="1"/>
  <c r="D23" i="1"/>
  <c r="E23" i="1" s="1"/>
  <c r="D7" i="1"/>
  <c r="E7" i="1" s="1"/>
  <c r="D38" i="1"/>
  <c r="E38" i="1" s="1"/>
  <c r="D22" i="1"/>
  <c r="E22" i="1" s="1"/>
  <c r="D6" i="1"/>
  <c r="E6" i="1" s="1"/>
  <c r="D51" i="1"/>
  <c r="D35" i="1"/>
  <c r="E35" i="1" s="1"/>
  <c r="D19" i="1"/>
  <c r="E19" i="1" s="1"/>
  <c r="D3" i="1"/>
  <c r="E3" i="1" s="1"/>
  <c r="D50" i="1"/>
  <c r="E50" i="1" s="1"/>
  <c r="D34" i="1"/>
  <c r="E34" i="1" s="1"/>
  <c r="E52" i="1" s="1"/>
  <c r="D55" i="1" s="1"/>
  <c r="D52" i="1" l="1"/>
</calcChain>
</file>

<file path=xl/sharedStrings.xml><?xml version="1.0" encoding="utf-8"?>
<sst xmlns="http://schemas.openxmlformats.org/spreadsheetml/2006/main" count="202" uniqueCount="67">
  <si>
    <t>№ п/п</t>
  </si>
  <si>
    <t>Символы</t>
  </si>
  <si>
    <t>Число вхождений символа в текст</t>
  </si>
  <si>
    <t>Вероятность вхождения сивола (pi)</t>
  </si>
  <si>
    <t>li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</si>
  <si>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</si>
  <si>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</si>
  <si>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</si>
  <si>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</si>
  <si>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</si>
  <si>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</si>
  <si>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</si>
  <si>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</si>
  <si>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</si>
  <si>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</si>
  <si>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</si>
  <si>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</si>
  <si>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</si>
  <si>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</si>
  <si>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</si>
  <si>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</si>
  <si>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</si>
  <si>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</si>
  <si>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</si>
  <si>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</si>
  <si>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</si>
  <si>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</si>
  <si>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</si>
  <si>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</si>
  <si>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</si>
  <si>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</si>
  <si>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</si>
  <si>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</si>
  <si>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</si>
  <si>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</si>
  <si>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</si>
  <si>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</si>
  <si>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.</t>
  </si>
  <si>
    <t>,</t>
  </si>
  <si>
    <t>:</t>
  </si>
  <si>
    <t>;</t>
  </si>
  <si>
    <t xml:space="preserve"> </t>
  </si>
  <si>
    <t>(</t>
  </si>
  <si>
    <t>?</t>
  </si>
  <si>
    <t>!</t>
  </si>
  <si>
    <t>Кодовые комбинации</t>
  </si>
  <si>
    <t>1 ступень</t>
  </si>
  <si>
    <t>2  ступень</t>
  </si>
  <si>
    <t>3 ступень</t>
  </si>
  <si>
    <t>4 ступень</t>
  </si>
  <si>
    <t>5 ступень</t>
  </si>
  <si>
    <t>6 ступень</t>
  </si>
  <si>
    <t>7 ступень</t>
  </si>
  <si>
    <t>8 ступень</t>
  </si>
  <si>
    <t>9 ступень</t>
  </si>
  <si>
    <t>Вероятность сивола (pi)</t>
  </si>
  <si>
    <t>10 ступень</t>
  </si>
  <si>
    <t>11 ступень</t>
  </si>
  <si>
    <t>12 ступень</t>
  </si>
  <si>
    <t>"пробел"</t>
  </si>
  <si>
    <t>исходное сообщение</t>
  </si>
  <si>
    <t>закодированное сообщение</t>
  </si>
  <si>
    <t>Шаг</t>
  </si>
  <si>
    <t>Кодовая комбинация</t>
  </si>
  <si>
    <t>Число подходящих символов</t>
  </si>
  <si>
    <t>Выявленный символ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</si>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</sst>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opLeftCell="A19" workbookViewId="0">
      <selection activeCell="E51" sqref="A2:E51"/>
    </sheetView>
  </sheetViews>
  <sheetFormatPr defaultRowHeight="15.75" x14ac:dyDescent="0.25"/>
  <cols>
    <col min="1" max="1" width="9.140625" style="1"/>
    <col min="2" max="2" width="10.140625" style="1" bestFit="1" customWidth="1"/>
    <col min="3" max="3" width="35.5703125" style="1" bestFit="1" customWidth="1"/>
    <col min="4" max="4" width="36.7109375" style="1" bestFit="1" customWidth="1"/>
    <col min="5" max="5" width="13.7109375" style="1" bestFit="1" customWidth="1"/>
    <col min="6" max="16384" width="9.140625" style="1"/>
  </cols>
  <sheetData>
    <row r="1" spans="1:5" ht="16.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>
        <v>0</v>
      </c>
      <c r="C2" s="1">
        <v>188</v>
      </c>
      <c r="D2" s="1">
        <f>C2/$C$52</f>
        <v>1.6534595122294439E-3</v>
      </c>
      <c r="E2" s="1">
        <f>-D2*LOG(D2,2)</f>
        <v>1.5278456252120242E-2</v>
      </c>
    </row>
    <row r="3" spans="1:5" x14ac:dyDescent="0.25">
      <c r="A3" s="1">
        <v>2</v>
      </c>
      <c r="B3" s="1">
        <v>1</v>
      </c>
      <c r="C3" s="1">
        <v>220</v>
      </c>
      <c r="D3" s="1">
        <f t="shared" ref="D3:D51" si="0">C3/$C$52</f>
        <v>1.9348994292046685E-3</v>
      </c>
      <c r="E3" s="1">
        <f t="shared" ref="E3:E50" si="1">-D3*LOG(D3,2)</f>
        <v>1.7440265739205423E-2</v>
      </c>
    </row>
    <row r="4" spans="1:5" x14ac:dyDescent="0.25">
      <c r="A4" s="1">
        <v>3</v>
      </c>
      <c r="B4" s="1">
        <v>2</v>
      </c>
      <c r="C4" s="1">
        <v>133</v>
      </c>
      <c r="D4" s="1">
        <f t="shared" si="0"/>
        <v>1.1697346549282767E-3</v>
      </c>
      <c r="E4" s="1">
        <f t="shared" si="1"/>
        <v>1.1392751132961504E-2</v>
      </c>
    </row>
    <row r="5" spans="1:5" x14ac:dyDescent="0.25">
      <c r="A5" s="1">
        <v>4</v>
      </c>
      <c r="B5" s="1">
        <v>3</v>
      </c>
      <c r="C5" s="1">
        <v>111</v>
      </c>
      <c r="D5" s="1">
        <f t="shared" si="0"/>
        <v>9.7624471200780994E-4</v>
      </c>
      <c r="E5" s="1">
        <f t="shared" si="1"/>
        <v>9.762905516633719E-3</v>
      </c>
    </row>
    <row r="6" spans="1:5" x14ac:dyDescent="0.25">
      <c r="A6" s="1">
        <v>5</v>
      </c>
      <c r="B6" s="1">
        <v>4</v>
      </c>
      <c r="C6" s="1">
        <v>62</v>
      </c>
      <c r="D6" s="1">
        <f t="shared" si="0"/>
        <v>5.4528983913949749E-4</v>
      </c>
      <c r="E6" s="1">
        <f t="shared" si="1"/>
        <v>5.9113176192273796E-3</v>
      </c>
    </row>
    <row r="7" spans="1:5" x14ac:dyDescent="0.25">
      <c r="A7" s="1">
        <v>6</v>
      </c>
      <c r="B7" s="1">
        <v>5</v>
      </c>
      <c r="C7" s="1">
        <v>71</v>
      </c>
      <c r="D7" s="1">
        <f t="shared" si="0"/>
        <v>6.2444481578877934E-4</v>
      </c>
      <c r="E7" s="1">
        <f t="shared" si="1"/>
        <v>6.6473014233641159E-3</v>
      </c>
    </row>
    <row r="8" spans="1:5" x14ac:dyDescent="0.25">
      <c r="A8" s="1">
        <v>7</v>
      </c>
      <c r="B8" s="1">
        <v>6</v>
      </c>
      <c r="C8" s="1">
        <v>51</v>
      </c>
      <c r="D8" s="1">
        <f t="shared" si="0"/>
        <v>4.4854486767926404E-4</v>
      </c>
      <c r="E8" s="1">
        <f t="shared" si="1"/>
        <v>4.9889223827210959E-3</v>
      </c>
    </row>
    <row r="9" spans="1:5" x14ac:dyDescent="0.25">
      <c r="A9" s="1">
        <v>8</v>
      </c>
      <c r="B9" s="1">
        <v>7</v>
      </c>
      <c r="C9" s="1">
        <v>114</v>
      </c>
      <c r="D9" s="1">
        <f t="shared" si="0"/>
        <v>1.0026297042242372E-3</v>
      </c>
      <c r="E9" s="1">
        <f t="shared" si="1"/>
        <v>9.9881925044504223E-3</v>
      </c>
    </row>
    <row r="10" spans="1:5" x14ac:dyDescent="0.25">
      <c r="A10" s="1">
        <v>9</v>
      </c>
      <c r="B10" s="1">
        <v>8</v>
      </c>
      <c r="C10" s="1">
        <v>75</v>
      </c>
      <c r="D10" s="1">
        <f t="shared" si="0"/>
        <v>6.5962480541068241E-4</v>
      </c>
      <c r="E10" s="1">
        <f t="shared" si="1"/>
        <v>6.9696397085729448E-3</v>
      </c>
    </row>
    <row r="11" spans="1:5" x14ac:dyDescent="0.25">
      <c r="A11" s="1">
        <v>10</v>
      </c>
      <c r="B11" s="1">
        <v>9</v>
      </c>
      <c r="C11" s="1">
        <v>44</v>
      </c>
      <c r="D11" s="1">
        <f t="shared" si="0"/>
        <v>3.8697988584093367E-4</v>
      </c>
      <c r="E11" s="1">
        <f t="shared" si="1"/>
        <v>4.3865926169314529E-3</v>
      </c>
    </row>
    <row r="12" spans="1:5" x14ac:dyDescent="0.25">
      <c r="A12" s="1">
        <v>11</v>
      </c>
      <c r="B12" s="1" t="s">
        <v>5</v>
      </c>
      <c r="C12" s="1">
        <v>4702</v>
      </c>
      <c r="D12" s="1">
        <f t="shared" si="0"/>
        <v>4.1354077800547048E-2</v>
      </c>
      <c r="E12" s="1">
        <f t="shared" si="1"/>
        <v>0.19005617050827103</v>
      </c>
    </row>
    <row r="13" spans="1:5" x14ac:dyDescent="0.25">
      <c r="A13" s="1">
        <v>12</v>
      </c>
      <c r="B13" s="1" t="s">
        <v>6</v>
      </c>
      <c r="C13" s="1">
        <v>683</v>
      </c>
      <c r="D13" s="1">
        <f t="shared" si="0"/>
        <v>6.0069832279399478E-3</v>
      </c>
      <c r="E13" s="1">
        <f t="shared" si="1"/>
        <v>4.4326392135693032E-2</v>
      </c>
    </row>
    <row r="14" spans="1:5" x14ac:dyDescent="0.25">
      <c r="A14" s="1">
        <v>13</v>
      </c>
      <c r="B14" s="1" t="s">
        <v>7</v>
      </c>
      <c r="C14" s="1">
        <v>2375</v>
      </c>
      <c r="D14" s="1">
        <f t="shared" si="0"/>
        <v>2.0888118838004944E-2</v>
      </c>
      <c r="E14" s="1">
        <f t="shared" si="1"/>
        <v>0.11658021781163816</v>
      </c>
    </row>
    <row r="15" spans="1:5" x14ac:dyDescent="0.25">
      <c r="A15" s="1">
        <v>14</v>
      </c>
      <c r="B15" s="1" t="s">
        <v>8</v>
      </c>
      <c r="C15" s="1">
        <v>761</v>
      </c>
      <c r="D15" s="1">
        <f t="shared" si="0"/>
        <v>6.6929930255670575E-3</v>
      </c>
      <c r="E15" s="1">
        <f t="shared" si="1"/>
        <v>4.8344377277241869E-2</v>
      </c>
    </row>
    <row r="16" spans="1:5" x14ac:dyDescent="0.25">
      <c r="A16" s="1">
        <v>15</v>
      </c>
      <c r="B16" s="1" t="s">
        <v>9</v>
      </c>
      <c r="C16" s="1">
        <v>1926</v>
      </c>
      <c r="D16" s="1">
        <f t="shared" si="0"/>
        <v>1.6939165002946323E-2</v>
      </c>
      <c r="E16" s="1">
        <f t="shared" si="1"/>
        <v>9.9661465993992143E-2</v>
      </c>
    </row>
    <row r="17" spans="1:5" x14ac:dyDescent="0.25">
      <c r="A17" s="1">
        <v>16</v>
      </c>
      <c r="B17" s="1" t="s">
        <v>10</v>
      </c>
      <c r="C17" s="1">
        <v>5544</v>
      </c>
      <c r="D17" s="1">
        <f t="shared" si="0"/>
        <v>4.8759465615957641E-2</v>
      </c>
      <c r="E17" s="1">
        <f t="shared" si="1"/>
        <v>0.21250222921055725</v>
      </c>
    </row>
    <row r="18" spans="1:5" x14ac:dyDescent="0.25">
      <c r="A18" s="1">
        <v>17</v>
      </c>
      <c r="B18" s="1" t="s">
        <v>11</v>
      </c>
      <c r="C18" s="1">
        <v>420</v>
      </c>
      <c r="D18" s="1">
        <f t="shared" si="0"/>
        <v>3.6938989102998213E-3</v>
      </c>
      <c r="E18" s="1">
        <f t="shared" si="1"/>
        <v>2.9849066919494387E-2</v>
      </c>
    </row>
    <row r="19" spans="1:5" x14ac:dyDescent="0.25">
      <c r="A19" s="1">
        <v>18</v>
      </c>
      <c r="B19" s="1" t="s">
        <v>12</v>
      </c>
      <c r="C19" s="1">
        <v>961</v>
      </c>
      <c r="D19" s="1">
        <f t="shared" si="0"/>
        <v>8.4519925066622106E-3</v>
      </c>
      <c r="E19" s="1">
        <f t="shared" si="1"/>
        <v>5.8204585512763155E-2</v>
      </c>
    </row>
    <row r="20" spans="1:5" x14ac:dyDescent="0.25">
      <c r="A20" s="1">
        <v>19</v>
      </c>
      <c r="B20" s="1" t="s">
        <v>13</v>
      </c>
      <c r="C20" s="1">
        <v>4786</v>
      </c>
      <c r="D20" s="1">
        <f t="shared" si="0"/>
        <v>4.2092857582607016E-2</v>
      </c>
      <c r="E20" s="1">
        <f t="shared" si="1"/>
        <v>0.19237617611965432</v>
      </c>
    </row>
    <row r="21" spans="1:5" x14ac:dyDescent="0.25">
      <c r="A21" s="1">
        <v>20</v>
      </c>
      <c r="B21" s="1" t="s">
        <v>14</v>
      </c>
      <c r="C21" s="1">
        <v>690</v>
      </c>
      <c r="D21" s="1">
        <f t="shared" si="0"/>
        <v>6.0685482097782781E-3</v>
      </c>
      <c r="E21" s="1">
        <f t="shared" si="1"/>
        <v>4.4691415882304492E-2</v>
      </c>
    </row>
    <row r="22" spans="1:5" x14ac:dyDescent="0.25">
      <c r="A22" s="1">
        <v>21</v>
      </c>
      <c r="B22" s="1" t="s">
        <v>15</v>
      </c>
      <c r="C22" s="1">
        <v>1921</v>
      </c>
      <c r="D22" s="1">
        <f t="shared" si="0"/>
        <v>1.6895190015918944E-2</v>
      </c>
      <c r="E22" s="1">
        <f t="shared" si="1"/>
        <v>9.9466099521040421E-2</v>
      </c>
    </row>
    <row r="23" spans="1:5" x14ac:dyDescent="0.25">
      <c r="A23" s="1">
        <v>22</v>
      </c>
      <c r="B23" s="1" t="s">
        <v>16</v>
      </c>
      <c r="C23" s="1">
        <v>2215</v>
      </c>
      <c r="D23" s="1">
        <f t="shared" si="0"/>
        <v>1.9480919253128819E-2</v>
      </c>
      <c r="E23" s="1">
        <f t="shared" si="1"/>
        <v>0.11068657857733583</v>
      </c>
    </row>
    <row r="24" spans="1:5" x14ac:dyDescent="0.25">
      <c r="A24" s="1">
        <v>23</v>
      </c>
      <c r="B24" s="1" t="s">
        <v>17</v>
      </c>
      <c r="C24" s="1">
        <v>2579</v>
      </c>
      <c r="D24" s="1">
        <f t="shared" si="0"/>
        <v>2.2682298308721999E-2</v>
      </c>
      <c r="E24" s="1">
        <f t="shared" si="1"/>
        <v>0.12389727669921045</v>
      </c>
    </row>
    <row r="25" spans="1:5" x14ac:dyDescent="0.25">
      <c r="A25" s="1">
        <v>24</v>
      </c>
      <c r="B25" s="1" t="s">
        <v>18</v>
      </c>
      <c r="C25" s="1">
        <v>3528</v>
      </c>
      <c r="D25" s="1">
        <f t="shared" si="0"/>
        <v>3.1028750846518502E-2</v>
      </c>
      <c r="E25" s="1">
        <f t="shared" si="1"/>
        <v>0.15546181666680128</v>
      </c>
    </row>
    <row r="26" spans="1:5" x14ac:dyDescent="0.25">
      <c r="A26" s="1">
        <v>25</v>
      </c>
      <c r="B26" s="1" t="s">
        <v>19</v>
      </c>
      <c r="C26" s="1">
        <v>5976</v>
      </c>
      <c r="D26" s="1">
        <f t="shared" si="0"/>
        <v>5.2558904495123175E-2</v>
      </c>
      <c r="E26" s="1">
        <f t="shared" si="1"/>
        <v>0.22337119113261686</v>
      </c>
    </row>
    <row r="27" spans="1:5" x14ac:dyDescent="0.25">
      <c r="A27" s="1">
        <v>26</v>
      </c>
      <c r="B27" s="1" t="s">
        <v>20</v>
      </c>
      <c r="C27" s="1">
        <v>2498</v>
      </c>
      <c r="D27" s="1">
        <f t="shared" si="0"/>
        <v>2.1969903518878463E-2</v>
      </c>
      <c r="E27" s="1">
        <f t="shared" si="1"/>
        <v>0.12101742714420857</v>
      </c>
    </row>
    <row r="28" spans="1:5" x14ac:dyDescent="0.25">
      <c r="A28" s="1">
        <v>27</v>
      </c>
      <c r="B28" s="1" t="s">
        <v>21</v>
      </c>
      <c r="C28" s="1">
        <v>3827</v>
      </c>
      <c r="D28" s="1">
        <f t="shared" si="0"/>
        <v>3.3658455070755752E-2</v>
      </c>
      <c r="E28" s="1">
        <f t="shared" si="1"/>
        <v>0.16468702504951516</v>
      </c>
    </row>
    <row r="29" spans="1:5" x14ac:dyDescent="0.25">
      <c r="A29" s="1">
        <v>28</v>
      </c>
      <c r="B29" s="1" t="s">
        <v>22</v>
      </c>
      <c r="C29" s="1">
        <v>2892</v>
      </c>
      <c r="D29" s="1">
        <f t="shared" si="0"/>
        <v>2.5435132496635912E-2</v>
      </c>
      <c r="E29" s="1">
        <f t="shared" si="1"/>
        <v>0.13473075095331735</v>
      </c>
    </row>
    <row r="30" spans="1:5" x14ac:dyDescent="0.25">
      <c r="A30" s="1">
        <v>29</v>
      </c>
      <c r="B30" s="1" t="s">
        <v>23</v>
      </c>
      <c r="C30" s="1">
        <v>3740</v>
      </c>
      <c r="D30" s="1">
        <f t="shared" si="0"/>
        <v>3.2893290296479361E-2</v>
      </c>
      <c r="E30" s="1">
        <f t="shared" si="1"/>
        <v>0.1620344157531724</v>
      </c>
    </row>
    <row r="31" spans="1:5" x14ac:dyDescent="0.25">
      <c r="A31" s="1">
        <v>30</v>
      </c>
      <c r="B31" s="1" t="s">
        <v>24</v>
      </c>
      <c r="C31" s="1">
        <v>1685</v>
      </c>
      <c r="D31" s="1">
        <f t="shared" si="0"/>
        <v>1.4819570628226664E-2</v>
      </c>
      <c r="E31" s="1">
        <f t="shared" si="1"/>
        <v>9.0048935645616876E-2</v>
      </c>
    </row>
    <row r="32" spans="1:5" x14ac:dyDescent="0.25">
      <c r="A32" s="1">
        <v>31</v>
      </c>
      <c r="B32" s="1" t="s">
        <v>25</v>
      </c>
      <c r="C32" s="1">
        <v>415</v>
      </c>
      <c r="D32" s="1">
        <f t="shared" si="0"/>
        <v>3.6499239232724427E-3</v>
      </c>
      <c r="E32" s="1">
        <f t="shared" si="1"/>
        <v>2.955678423901166E-2</v>
      </c>
    </row>
    <row r="33" spans="1:5" x14ac:dyDescent="0.25">
      <c r="A33" s="1">
        <v>32</v>
      </c>
      <c r="B33" s="1" t="s">
        <v>26</v>
      </c>
      <c r="C33" s="1">
        <v>387</v>
      </c>
      <c r="D33" s="1">
        <f t="shared" si="0"/>
        <v>3.4036639959191214E-3</v>
      </c>
      <c r="E33" s="1">
        <f t="shared" si="1"/>
        <v>2.7905605235107808E-2</v>
      </c>
    </row>
    <row r="34" spans="1:5" x14ac:dyDescent="0.25">
      <c r="A34" s="1">
        <v>33</v>
      </c>
      <c r="B34" s="1" t="s">
        <v>27</v>
      </c>
      <c r="C34" s="1">
        <v>623</v>
      </c>
      <c r="D34" s="1">
        <f t="shared" si="0"/>
        <v>5.4792833836114019E-3</v>
      </c>
      <c r="E34" s="1">
        <f t="shared" si="1"/>
        <v>4.1159264834920523E-2</v>
      </c>
    </row>
    <row r="35" spans="1:5" x14ac:dyDescent="0.25">
      <c r="A35" s="1">
        <v>34</v>
      </c>
      <c r="B35" s="1" t="s">
        <v>28</v>
      </c>
      <c r="C35" s="1">
        <v>603</v>
      </c>
      <c r="D35" s="1">
        <f t="shared" si="0"/>
        <v>5.3033834355018863E-3</v>
      </c>
      <c r="E35" s="1">
        <f t="shared" si="1"/>
        <v>4.0087592447463627E-2</v>
      </c>
    </row>
    <row r="36" spans="1:5" x14ac:dyDescent="0.25">
      <c r="A36" s="1">
        <v>35</v>
      </c>
      <c r="B36" s="1" t="s">
        <v>29</v>
      </c>
      <c r="C36" s="1">
        <v>126</v>
      </c>
      <c r="D36" s="1">
        <f t="shared" si="0"/>
        <v>1.1081696730899464E-3</v>
      </c>
      <c r="E36" s="1">
        <f t="shared" si="1"/>
        <v>1.0879572670503965E-2</v>
      </c>
    </row>
    <row r="37" spans="1:5" x14ac:dyDescent="0.25">
      <c r="A37" s="1">
        <v>36</v>
      </c>
      <c r="B37" s="1" t="s">
        <v>30</v>
      </c>
      <c r="C37" s="1">
        <v>350</v>
      </c>
      <c r="D37" s="1">
        <f t="shared" si="0"/>
        <v>3.0782490919165177E-3</v>
      </c>
      <c r="E37" s="1">
        <f t="shared" si="1"/>
        <v>2.5683907853812669E-2</v>
      </c>
    </row>
    <row r="38" spans="1:5" x14ac:dyDescent="0.25">
      <c r="A38" s="1">
        <v>37</v>
      </c>
      <c r="B38" s="1" t="s">
        <v>31</v>
      </c>
      <c r="C38" s="1">
        <v>41</v>
      </c>
      <c r="D38" s="1">
        <f t="shared" si="0"/>
        <v>3.6059489362450637E-4</v>
      </c>
      <c r="E38" s="1">
        <f t="shared" si="1"/>
        <v>4.1242440252658901E-3</v>
      </c>
    </row>
    <row r="39" spans="1:5" x14ac:dyDescent="0.25">
      <c r="A39" s="1">
        <v>38</v>
      </c>
      <c r="B39" s="1" t="s">
        <v>32</v>
      </c>
      <c r="C39" s="1">
        <v>1405</v>
      </c>
      <c r="D39" s="1">
        <f t="shared" si="0"/>
        <v>1.235697135469345E-2</v>
      </c>
      <c r="E39" s="1">
        <f t="shared" si="1"/>
        <v>7.8325046023954417E-2</v>
      </c>
    </row>
    <row r="40" spans="1:5" x14ac:dyDescent="0.25">
      <c r="A40" s="1">
        <v>39</v>
      </c>
      <c r="B40" s="1" t="s">
        <v>33</v>
      </c>
      <c r="C40" s="1">
        <v>802</v>
      </c>
      <c r="D40" s="1">
        <f t="shared" si="0"/>
        <v>7.0535879191915641E-3</v>
      </c>
      <c r="E40" s="1">
        <f t="shared" si="1"/>
        <v>5.0415004675377767E-2</v>
      </c>
    </row>
    <row r="41" spans="1:5" x14ac:dyDescent="0.25">
      <c r="A41" s="1">
        <v>40</v>
      </c>
      <c r="B41" s="1" t="s">
        <v>34</v>
      </c>
      <c r="C41" s="1">
        <v>206</v>
      </c>
      <c r="D41" s="1">
        <f t="shared" si="0"/>
        <v>1.8117694655280076E-3</v>
      </c>
      <c r="E41" s="1">
        <f t="shared" si="1"/>
        <v>1.6502293624048786E-2</v>
      </c>
    </row>
    <row r="42" spans="1:5" x14ac:dyDescent="0.25">
      <c r="A42" s="1">
        <v>41</v>
      </c>
      <c r="B42" s="1" t="s">
        <v>35</v>
      </c>
      <c r="C42" s="1">
        <v>479</v>
      </c>
      <c r="D42" s="1">
        <f t="shared" si="0"/>
        <v>4.2128037572228914E-3</v>
      </c>
      <c r="E42" s="1">
        <f t="shared" si="1"/>
        <v>3.3243249494214346E-2</v>
      </c>
    </row>
    <row r="43" spans="1:5" x14ac:dyDescent="0.25">
      <c r="A43" s="1">
        <v>42</v>
      </c>
      <c r="B43" s="1" t="s">
        <v>36</v>
      </c>
      <c r="C43" s="1">
        <v>1342</v>
      </c>
      <c r="D43" s="1">
        <f t="shared" si="0"/>
        <v>1.1802886518148478E-2</v>
      </c>
      <c r="E43" s="1">
        <f t="shared" si="1"/>
        <v>7.5594141570356987E-2</v>
      </c>
    </row>
    <row r="44" spans="1:5" x14ac:dyDescent="0.25">
      <c r="A44" s="1">
        <v>43</v>
      </c>
      <c r="B44" s="1" t="s">
        <v>37</v>
      </c>
      <c r="C44" s="1">
        <v>816</v>
      </c>
      <c r="D44" s="1">
        <f t="shared" si="0"/>
        <v>7.1767178828682247E-3</v>
      </c>
      <c r="E44" s="1">
        <f t="shared" si="1"/>
        <v>5.1115886592064626E-2</v>
      </c>
    </row>
    <row r="45" spans="1:5" x14ac:dyDescent="0.25">
      <c r="A45" s="1">
        <v>44</v>
      </c>
      <c r="B45" s="1" t="s">
        <v>38</v>
      </c>
      <c r="C45" s="1">
        <v>841</v>
      </c>
      <c r="D45" s="1">
        <f t="shared" si="0"/>
        <v>7.3965928180051189E-3</v>
      </c>
      <c r="E45" s="1">
        <f t="shared" si="1"/>
        <v>5.2359914179110574E-2</v>
      </c>
    </row>
    <row r="46" spans="1:5" x14ac:dyDescent="0.25">
      <c r="A46" s="1">
        <v>45</v>
      </c>
      <c r="B46" s="1" t="s">
        <v>39</v>
      </c>
      <c r="C46" s="1">
        <v>216</v>
      </c>
      <c r="D46" s="1">
        <f t="shared" si="0"/>
        <v>1.8997194395827654E-3</v>
      </c>
      <c r="E46" s="1">
        <f t="shared" si="1"/>
        <v>1.7173459773024195E-2</v>
      </c>
    </row>
    <row r="47" spans="1:5" x14ac:dyDescent="0.25">
      <c r="A47" s="1">
        <v>46</v>
      </c>
      <c r="B47" s="1" t="s">
        <v>40</v>
      </c>
      <c r="C47" s="1">
        <v>304</v>
      </c>
      <c r="D47" s="1">
        <f t="shared" si="0"/>
        <v>2.6736792112646325E-3</v>
      </c>
      <c r="E47" s="1">
        <f t="shared" si="1"/>
        <v>2.2851823666886057E-2</v>
      </c>
    </row>
    <row r="48" spans="1:5" x14ac:dyDescent="0.25">
      <c r="A48" s="1">
        <v>47</v>
      </c>
      <c r="B48" s="1" t="s">
        <v>41</v>
      </c>
      <c r="C48" s="1">
        <v>49770</v>
      </c>
      <c r="D48" s="1">
        <f t="shared" si="0"/>
        <v>0.43772702087052884</v>
      </c>
      <c r="E48" s="1">
        <f t="shared" si="1"/>
        <v>0.52172537007788222</v>
      </c>
    </row>
    <row r="49" spans="1:5" x14ac:dyDescent="0.25">
      <c r="A49" s="1">
        <v>48</v>
      </c>
      <c r="B49" s="1" t="s">
        <v>42</v>
      </c>
      <c r="C49" s="1">
        <v>196</v>
      </c>
      <c r="D49" s="1">
        <f t="shared" si="0"/>
        <v>1.72381949147325E-3</v>
      </c>
      <c r="E49" s="1">
        <f t="shared" si="1"/>
        <v>1.5824965588067948E-2</v>
      </c>
    </row>
    <row r="50" spans="1:5" x14ac:dyDescent="0.25">
      <c r="A50" s="1">
        <v>49</v>
      </c>
      <c r="B50" s="1" t="s">
        <v>43</v>
      </c>
      <c r="C50" s="1">
        <v>1</v>
      </c>
      <c r="D50" s="1">
        <f t="shared" si="0"/>
        <v>8.794997405475766E-6</v>
      </c>
      <c r="E50" s="1">
        <f t="shared" si="1"/>
        <v>1.4771097366972951E-4</v>
      </c>
    </row>
    <row r="51" spans="1:5" x14ac:dyDescent="0.25">
      <c r="A51" s="1">
        <v>50</v>
      </c>
      <c r="B51" s="1" t="s">
        <v>44</v>
      </c>
      <c r="C51" s="1">
        <v>0</v>
      </c>
      <c r="D51" s="1">
        <f t="shared" si="0"/>
        <v>0</v>
      </c>
      <c r="E51" s="1">
        <v>0</v>
      </c>
    </row>
    <row r="52" spans="1:5" x14ac:dyDescent="0.25">
      <c r="C52" s="3">
        <f>SUM(C2:C51)</f>
        <v>113701</v>
      </c>
      <c r="D52" s="3">
        <f>SUM(D2:D51)</f>
        <v>0.99999999999999989</v>
      </c>
      <c r="E52" s="3">
        <f>SUM(E2:E51)</f>
        <v>3.6294357969553777</v>
      </c>
    </row>
    <row r="54" spans="1:5" x14ac:dyDescent="0.25">
      <c r="E54" s="1">
        <f>LOG(50,2)</f>
        <v>5.6438561897747244</v>
      </c>
    </row>
    <row r="55" spans="1:5" x14ac:dyDescent="0.25">
      <c r="D55" s="1">
        <f>E54-E52</f>
        <v>2.0144203928193467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780A-0597-4464-972F-8CCA1B377529}">
  <dimension ref="A1:Z69"/>
  <sheetViews>
    <sheetView zoomScaleNormal="100" workbookViewId="0">
      <selection activeCell="N51" sqref="C26:N51"/>
    </sheetView>
  </sheetViews>
  <sheetFormatPr defaultRowHeight="18.75" x14ac:dyDescent="0.25"/>
  <cols>
    <col min="1" max="1" width="10.28515625" style="8" bestFit="1" customWidth="1"/>
    <col min="2" max="2" width="29.42578125" style="8" bestFit="1" customWidth="1"/>
    <col min="3" max="14" width="3.7109375" style="8" customWidth="1"/>
    <col min="15" max="25" width="14.85546875" style="8" bestFit="1" customWidth="1"/>
    <col min="26" max="26" width="14" style="8" bestFit="1" customWidth="1"/>
    <col min="27" max="16384" width="9.140625" style="8"/>
  </cols>
  <sheetData>
    <row r="1" spans="1:26" ht="33" customHeight="1" thickBot="1" x14ac:dyDescent="0.3">
      <c r="A1" s="4" t="s">
        <v>1</v>
      </c>
      <c r="B1" s="5" t="s">
        <v>55</v>
      </c>
      <c r="C1" s="16" t="s">
        <v>45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6" t="s">
        <v>46</v>
      </c>
      <c r="P1" s="5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6" t="s">
        <v>52</v>
      </c>
      <c r="V1" s="4" t="s">
        <v>53</v>
      </c>
      <c r="W1" s="7" t="s">
        <v>54</v>
      </c>
      <c r="X1" s="6" t="s">
        <v>56</v>
      </c>
      <c r="Y1" s="5" t="s">
        <v>57</v>
      </c>
      <c r="Z1" s="4" t="s">
        <v>58</v>
      </c>
    </row>
    <row r="2" spans="1:26" ht="19.5" thickBot="1" x14ac:dyDescent="0.3">
      <c r="A2" s="4" t="s">
        <v>41</v>
      </c>
      <c r="B2" s="4">
        <v>0.43772702087052884</v>
      </c>
      <c r="C2" s="4">
        <v>1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14">
        <f>B2+B3</f>
        <v>0.49028592536565202</v>
      </c>
      <c r="P2" s="8">
        <f>B2</f>
        <v>0.43772702087052884</v>
      </c>
    </row>
    <row r="3" spans="1:26" ht="19.5" thickBot="1" x14ac:dyDescent="0.3">
      <c r="A3" s="4" t="s">
        <v>19</v>
      </c>
      <c r="B3" s="4">
        <v>5.2558904495123175E-2</v>
      </c>
      <c r="C3" s="4">
        <v>1</v>
      </c>
      <c r="D3" s="4">
        <v>0</v>
      </c>
      <c r="E3" s="4"/>
      <c r="F3" s="4"/>
      <c r="G3" s="4"/>
      <c r="H3" s="4"/>
      <c r="I3" s="4"/>
      <c r="J3" s="4"/>
      <c r="K3" s="4"/>
      <c r="L3" s="4"/>
      <c r="M3" s="4"/>
      <c r="N3" s="4"/>
      <c r="O3" s="17"/>
      <c r="P3" s="6">
        <f>B3</f>
        <v>5.2558904495123175E-2</v>
      </c>
    </row>
    <row r="4" spans="1:26" ht="19.5" thickBot="1" x14ac:dyDescent="0.3">
      <c r="A4" s="4" t="s">
        <v>10</v>
      </c>
      <c r="B4" s="4">
        <v>4.8759465615957641E-2</v>
      </c>
      <c r="C4" s="4">
        <v>0</v>
      </c>
      <c r="D4" s="4">
        <v>1</v>
      </c>
      <c r="E4" s="4">
        <v>1</v>
      </c>
      <c r="F4" s="4">
        <v>1</v>
      </c>
      <c r="G4" s="4"/>
      <c r="H4" s="4"/>
      <c r="I4" s="4"/>
      <c r="J4" s="4"/>
      <c r="K4" s="4"/>
      <c r="L4" s="4"/>
      <c r="M4" s="4"/>
      <c r="N4" s="4"/>
      <c r="O4" s="14">
        <f>SUM(B4:B51)</f>
        <v>0.50971407463434826</v>
      </c>
      <c r="P4" s="14">
        <f>SUM(B4:B10)</f>
        <v>0.25522202970950125</v>
      </c>
      <c r="Q4" s="14">
        <f>SUM(B4:B6)</f>
        <v>0.13220640099911168</v>
      </c>
      <c r="R4" s="6">
        <f>B4</f>
        <v>4.8759465615957641E-2</v>
      </c>
    </row>
    <row r="5" spans="1:26" ht="19.5" thickBot="1" x14ac:dyDescent="0.3">
      <c r="A5" s="4" t="s">
        <v>13</v>
      </c>
      <c r="B5" s="4">
        <v>4.2092857582607016E-2</v>
      </c>
      <c r="C5" s="4">
        <v>0</v>
      </c>
      <c r="D5" s="4">
        <v>1</v>
      </c>
      <c r="E5" s="4">
        <v>1</v>
      </c>
      <c r="F5" s="4">
        <v>0</v>
      </c>
      <c r="G5" s="4">
        <v>1</v>
      </c>
      <c r="H5" s="4"/>
      <c r="I5" s="4"/>
      <c r="J5" s="4"/>
      <c r="K5" s="4"/>
      <c r="L5" s="4"/>
      <c r="M5" s="4"/>
      <c r="N5" s="4"/>
      <c r="O5" s="17"/>
      <c r="P5" s="17"/>
      <c r="Q5" s="17"/>
      <c r="R5" s="14">
        <f>SUM(B5:B6)</f>
        <v>8.3446935383154064E-2</v>
      </c>
      <c r="S5" s="6">
        <f t="shared" ref="S5:S11" si="0">B5</f>
        <v>4.2092857582607016E-2</v>
      </c>
    </row>
    <row r="6" spans="1:26" ht="19.5" thickBot="1" x14ac:dyDescent="0.3">
      <c r="A6" s="4" t="s">
        <v>5</v>
      </c>
      <c r="B6" s="4">
        <v>4.1354077800547048E-2</v>
      </c>
      <c r="C6" s="4">
        <v>0</v>
      </c>
      <c r="D6" s="4">
        <v>1</v>
      </c>
      <c r="E6" s="4">
        <v>1</v>
      </c>
      <c r="F6" s="4">
        <v>0</v>
      </c>
      <c r="G6" s="4">
        <v>0</v>
      </c>
      <c r="H6" s="4"/>
      <c r="I6" s="4"/>
      <c r="J6" s="4"/>
      <c r="K6" s="4"/>
      <c r="L6" s="4"/>
      <c r="M6" s="4"/>
      <c r="N6" s="4"/>
      <c r="O6" s="17"/>
      <c r="P6" s="17"/>
      <c r="Q6" s="15"/>
      <c r="R6" s="15"/>
      <c r="S6" s="6">
        <f t="shared" si="0"/>
        <v>4.1354077800547048E-2</v>
      </c>
    </row>
    <row r="7" spans="1:26" ht="19.5" thickBot="1" x14ac:dyDescent="0.3">
      <c r="A7" s="4" t="s">
        <v>21</v>
      </c>
      <c r="B7" s="4">
        <v>3.3658455070755752E-2</v>
      </c>
      <c r="C7" s="4">
        <v>0</v>
      </c>
      <c r="D7" s="4">
        <v>1</v>
      </c>
      <c r="E7" s="4">
        <v>0</v>
      </c>
      <c r="F7" s="4">
        <v>1</v>
      </c>
      <c r="G7" s="4">
        <v>1</v>
      </c>
      <c r="H7" s="4"/>
      <c r="I7" s="4"/>
      <c r="J7" s="4"/>
      <c r="K7" s="4"/>
      <c r="L7" s="4"/>
      <c r="M7" s="4"/>
      <c r="N7" s="4"/>
      <c r="O7" s="17"/>
      <c r="P7" s="17"/>
      <c r="Q7" s="17">
        <f>SUM(B7:B10)</f>
        <v>0.12301562871038953</v>
      </c>
      <c r="R7" s="17">
        <f>SUM(B7:B8)</f>
        <v>6.6551745367235113E-2</v>
      </c>
      <c r="S7" s="8">
        <f t="shared" si="0"/>
        <v>3.3658455070755752E-2</v>
      </c>
    </row>
    <row r="8" spans="1:26" ht="19.5" thickBot="1" x14ac:dyDescent="0.3">
      <c r="A8" s="4" t="s">
        <v>23</v>
      </c>
      <c r="B8" s="4">
        <v>3.2893290296479361E-2</v>
      </c>
      <c r="C8" s="4">
        <v>0</v>
      </c>
      <c r="D8" s="4">
        <v>1</v>
      </c>
      <c r="E8" s="4">
        <v>0</v>
      </c>
      <c r="F8" s="4">
        <v>1</v>
      </c>
      <c r="G8" s="4">
        <v>0</v>
      </c>
      <c r="H8" s="4"/>
      <c r="I8" s="4"/>
      <c r="J8" s="4"/>
      <c r="K8" s="4"/>
      <c r="L8" s="4"/>
      <c r="M8" s="4"/>
      <c r="N8" s="4"/>
      <c r="O8" s="17"/>
      <c r="P8" s="17"/>
      <c r="Q8" s="17"/>
      <c r="R8" s="15"/>
      <c r="S8" s="6">
        <f t="shared" si="0"/>
        <v>3.2893290296479361E-2</v>
      </c>
    </row>
    <row r="9" spans="1:26" ht="19.5" thickBot="1" x14ac:dyDescent="0.3">
      <c r="A9" s="4" t="s">
        <v>18</v>
      </c>
      <c r="B9" s="4">
        <v>3.1028750846518502E-2</v>
      </c>
      <c r="C9" s="4">
        <v>0</v>
      </c>
      <c r="D9" s="4">
        <v>1</v>
      </c>
      <c r="E9" s="4">
        <v>0</v>
      </c>
      <c r="F9" s="4">
        <v>0</v>
      </c>
      <c r="G9" s="4">
        <v>1</v>
      </c>
      <c r="H9" s="4"/>
      <c r="I9" s="4"/>
      <c r="J9" s="4"/>
      <c r="K9" s="4"/>
      <c r="L9" s="4"/>
      <c r="M9" s="4"/>
      <c r="N9" s="4"/>
      <c r="O9" s="17"/>
      <c r="P9" s="17"/>
      <c r="Q9" s="17"/>
      <c r="R9" s="17">
        <f>SUM(B9:B10)</f>
        <v>5.6463883343154414E-2</v>
      </c>
      <c r="S9" s="8">
        <f t="shared" si="0"/>
        <v>3.1028750846518502E-2</v>
      </c>
    </row>
    <row r="10" spans="1:26" ht="19.5" thickBot="1" x14ac:dyDescent="0.3">
      <c r="A10" s="4" t="s">
        <v>22</v>
      </c>
      <c r="B10" s="4">
        <v>2.5435132496635912E-2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/>
      <c r="I10" s="4"/>
      <c r="J10" s="4"/>
      <c r="K10" s="4"/>
      <c r="L10" s="4"/>
      <c r="M10" s="4"/>
      <c r="N10" s="4"/>
      <c r="O10" s="17"/>
      <c r="P10" s="15"/>
      <c r="Q10" s="15"/>
      <c r="R10" s="15"/>
      <c r="S10" s="6">
        <f t="shared" si="0"/>
        <v>2.5435132496635912E-2</v>
      </c>
    </row>
    <row r="11" spans="1:26" ht="19.5" thickBot="1" x14ac:dyDescent="0.3">
      <c r="A11" s="4" t="s">
        <v>17</v>
      </c>
      <c r="B11" s="4">
        <v>2.2682298308721999E-2</v>
      </c>
      <c r="C11" s="4">
        <v>0</v>
      </c>
      <c r="D11" s="4">
        <v>0</v>
      </c>
      <c r="E11" s="4">
        <v>1</v>
      </c>
      <c r="F11" s="4">
        <v>1</v>
      </c>
      <c r="G11" s="4">
        <v>1</v>
      </c>
      <c r="H11" s="4"/>
      <c r="I11" s="4"/>
      <c r="J11" s="4"/>
      <c r="K11" s="4"/>
      <c r="L11" s="4"/>
      <c r="M11" s="4"/>
      <c r="N11" s="4"/>
      <c r="O11" s="17"/>
      <c r="P11" s="17">
        <f>SUM(B11:B51)</f>
        <v>0.25449204492484656</v>
      </c>
      <c r="Q11" s="14">
        <f>SUM(B11:B17)</f>
        <v>0.13367516556582615</v>
      </c>
      <c r="R11" s="14">
        <f>SUM(B11:B13)</f>
        <v>6.5540320665605403E-2</v>
      </c>
      <c r="S11" s="6">
        <f t="shared" si="0"/>
        <v>2.2682298308721999E-2</v>
      </c>
      <c r="T11" s="11"/>
    </row>
    <row r="12" spans="1:26" ht="19.5" thickBot="1" x14ac:dyDescent="0.3">
      <c r="A12" s="4" t="s">
        <v>20</v>
      </c>
      <c r="B12" s="4">
        <v>2.1969903518878463E-2</v>
      </c>
      <c r="C12" s="4">
        <v>0</v>
      </c>
      <c r="D12" s="4">
        <v>0</v>
      </c>
      <c r="E12" s="4">
        <v>1</v>
      </c>
      <c r="F12" s="4">
        <v>1</v>
      </c>
      <c r="G12" s="4">
        <v>0</v>
      </c>
      <c r="H12" s="4">
        <v>1</v>
      </c>
      <c r="I12" s="4"/>
      <c r="J12" s="4"/>
      <c r="K12" s="4"/>
      <c r="L12" s="4"/>
      <c r="M12" s="4"/>
      <c r="N12" s="4"/>
      <c r="O12" s="17"/>
      <c r="P12" s="17"/>
      <c r="Q12" s="17"/>
      <c r="R12" s="17"/>
      <c r="S12" s="17">
        <f>SUM(B12:B13)</f>
        <v>4.2858022356883407E-2</v>
      </c>
      <c r="T12" s="8">
        <f t="shared" ref="T12:T18" si="1">B12</f>
        <v>2.1969903518878463E-2</v>
      </c>
    </row>
    <row r="13" spans="1:26" ht="19.5" thickBot="1" x14ac:dyDescent="0.3">
      <c r="A13" s="4" t="s">
        <v>7</v>
      </c>
      <c r="B13" s="4">
        <v>2.0888118838004944E-2</v>
      </c>
      <c r="C13" s="4">
        <v>0</v>
      </c>
      <c r="D13" s="4">
        <v>0</v>
      </c>
      <c r="E13" s="4">
        <v>1</v>
      </c>
      <c r="F13" s="4">
        <v>1</v>
      </c>
      <c r="G13" s="4">
        <v>0</v>
      </c>
      <c r="H13" s="4">
        <v>0</v>
      </c>
      <c r="I13" s="4"/>
      <c r="J13" s="4"/>
      <c r="K13" s="4"/>
      <c r="L13" s="4"/>
      <c r="M13" s="4"/>
      <c r="N13" s="4"/>
      <c r="O13" s="17"/>
      <c r="P13" s="17"/>
      <c r="Q13" s="17"/>
      <c r="R13" s="15"/>
      <c r="S13" s="15"/>
      <c r="T13" s="6">
        <f t="shared" si="1"/>
        <v>2.0888118838004944E-2</v>
      </c>
    </row>
    <row r="14" spans="1:26" ht="19.5" thickBot="1" x14ac:dyDescent="0.3">
      <c r="A14" s="4" t="s">
        <v>16</v>
      </c>
      <c r="B14" s="4">
        <v>1.9480919253128819E-2</v>
      </c>
      <c r="C14" s="4">
        <v>0</v>
      </c>
      <c r="D14" s="4">
        <v>0</v>
      </c>
      <c r="E14" s="4">
        <v>1</v>
      </c>
      <c r="F14" s="4">
        <v>0</v>
      </c>
      <c r="G14" s="4">
        <v>1</v>
      </c>
      <c r="H14" s="4">
        <v>1</v>
      </c>
      <c r="I14" s="4"/>
      <c r="J14" s="4"/>
      <c r="K14" s="4"/>
      <c r="L14" s="4"/>
      <c r="M14" s="4"/>
      <c r="N14" s="4"/>
      <c r="O14" s="17"/>
      <c r="P14" s="17"/>
      <c r="Q14" s="17"/>
      <c r="R14" s="17">
        <f>SUM(B14:B17)</f>
        <v>6.8134844900220745E-2</v>
      </c>
      <c r="S14" s="17">
        <f>SUM(B14:B15)</f>
        <v>3.6420084256075139E-2</v>
      </c>
      <c r="T14" s="6">
        <f t="shared" si="1"/>
        <v>1.9480919253128819E-2</v>
      </c>
    </row>
    <row r="15" spans="1:26" ht="19.5" thickBot="1" x14ac:dyDescent="0.3">
      <c r="A15" s="4" t="s">
        <v>9</v>
      </c>
      <c r="B15" s="4">
        <v>1.6939165002946323E-2</v>
      </c>
      <c r="C15" s="4">
        <v>0</v>
      </c>
      <c r="D15" s="4">
        <v>0</v>
      </c>
      <c r="E15" s="4">
        <v>1</v>
      </c>
      <c r="F15" s="4">
        <v>0</v>
      </c>
      <c r="G15" s="4">
        <v>1</v>
      </c>
      <c r="H15" s="4">
        <v>0</v>
      </c>
      <c r="I15" s="4"/>
      <c r="J15" s="4"/>
      <c r="K15" s="4"/>
      <c r="L15" s="4"/>
      <c r="M15" s="4"/>
      <c r="N15" s="4"/>
      <c r="O15" s="17"/>
      <c r="P15" s="17"/>
      <c r="Q15" s="17"/>
      <c r="R15" s="17"/>
      <c r="S15" s="15"/>
      <c r="T15" s="11">
        <f t="shared" si="1"/>
        <v>1.6939165002946323E-2</v>
      </c>
    </row>
    <row r="16" spans="1:26" ht="19.5" thickBot="1" x14ac:dyDescent="0.3">
      <c r="A16" s="4" t="s">
        <v>15</v>
      </c>
      <c r="B16" s="4">
        <v>1.6895190015918944E-2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1</v>
      </c>
      <c r="I16" s="4"/>
      <c r="J16" s="4"/>
      <c r="K16" s="4"/>
      <c r="L16" s="4"/>
      <c r="M16" s="4"/>
      <c r="N16" s="4"/>
      <c r="O16" s="17"/>
      <c r="P16" s="17"/>
      <c r="Q16" s="17"/>
      <c r="R16" s="17"/>
      <c r="S16" s="17">
        <f>SUM(B16:B17)</f>
        <v>3.1714760644145606E-2</v>
      </c>
      <c r="T16" s="8">
        <f t="shared" si="1"/>
        <v>1.6895190015918944E-2</v>
      </c>
    </row>
    <row r="17" spans="1:22" ht="19.5" thickBot="1" x14ac:dyDescent="0.3">
      <c r="A17" s="4" t="s">
        <v>24</v>
      </c>
      <c r="B17" s="4">
        <v>1.4819570628226664E-2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/>
      <c r="J17" s="4"/>
      <c r="K17" s="4"/>
      <c r="L17" s="4"/>
      <c r="M17" s="4"/>
      <c r="N17" s="4"/>
      <c r="O17" s="17"/>
      <c r="P17" s="17"/>
      <c r="Q17" s="15"/>
      <c r="R17" s="15"/>
      <c r="S17" s="15"/>
      <c r="T17" s="6">
        <f t="shared" si="1"/>
        <v>1.4819570628226664E-2</v>
      </c>
    </row>
    <row r="18" spans="1:22" ht="19.5" thickBot="1" x14ac:dyDescent="0.3">
      <c r="A18" s="4" t="s">
        <v>32</v>
      </c>
      <c r="B18" s="4">
        <v>1.235697135469345E-2</v>
      </c>
      <c r="C18" s="4">
        <v>0</v>
      </c>
      <c r="D18" s="4">
        <v>0</v>
      </c>
      <c r="E18" s="4">
        <v>0</v>
      </c>
      <c r="F18" s="4">
        <v>1</v>
      </c>
      <c r="G18" s="4">
        <v>1</v>
      </c>
      <c r="H18" s="4">
        <v>1</v>
      </c>
      <c r="I18" s="4"/>
      <c r="J18" s="4"/>
      <c r="K18" s="4"/>
      <c r="L18" s="4"/>
      <c r="M18" s="4"/>
      <c r="N18" s="4"/>
      <c r="O18" s="17"/>
      <c r="P18" s="17"/>
      <c r="Q18" s="17">
        <f>SUM(B18:B51)</f>
        <v>0.12081687935902062</v>
      </c>
      <c r="R18" s="14">
        <f>SUM(B18:B24)</f>
        <v>6.0931742025136092E-2</v>
      </c>
      <c r="S18" s="14">
        <f>SUM(B18:B20)</f>
        <v>3.2611850379504134E-2</v>
      </c>
      <c r="T18" s="11">
        <f t="shared" si="1"/>
        <v>1.235697135469345E-2</v>
      </c>
      <c r="U18" s="11"/>
    </row>
    <row r="19" spans="1:22" ht="19.5" thickBot="1" x14ac:dyDescent="0.3">
      <c r="A19" s="4" t="s">
        <v>36</v>
      </c>
      <c r="B19" s="4">
        <v>1.1802886518148478E-2</v>
      </c>
      <c r="C19" s="4">
        <v>0</v>
      </c>
      <c r="D19" s="4">
        <v>0</v>
      </c>
      <c r="E19" s="4">
        <v>0</v>
      </c>
      <c r="F19" s="4">
        <v>1</v>
      </c>
      <c r="G19" s="4">
        <v>1</v>
      </c>
      <c r="H19" s="4">
        <v>0</v>
      </c>
      <c r="I19" s="4">
        <v>1</v>
      </c>
      <c r="J19" s="4"/>
      <c r="K19" s="4"/>
      <c r="L19" s="4"/>
      <c r="M19" s="4"/>
      <c r="N19" s="4"/>
      <c r="O19" s="17"/>
      <c r="P19" s="17"/>
      <c r="Q19" s="17"/>
      <c r="R19" s="17"/>
      <c r="S19" s="17"/>
      <c r="T19" s="17">
        <f>SUM(B19:B20)</f>
        <v>2.0254879024810688E-2</v>
      </c>
      <c r="U19" s="8">
        <f t="shared" ref="U19:U25" si="2">B19</f>
        <v>1.1802886518148478E-2</v>
      </c>
    </row>
    <row r="20" spans="1:22" ht="19.5" thickBot="1" x14ac:dyDescent="0.3">
      <c r="A20" s="4" t="s">
        <v>12</v>
      </c>
      <c r="B20" s="4">
        <v>8.4519925066622106E-3</v>
      </c>
      <c r="C20" s="4">
        <v>0</v>
      </c>
      <c r="D20" s="4">
        <v>0</v>
      </c>
      <c r="E20" s="4">
        <v>0</v>
      </c>
      <c r="F20" s="4">
        <v>1</v>
      </c>
      <c r="G20" s="4">
        <v>1</v>
      </c>
      <c r="H20" s="4">
        <v>0</v>
      </c>
      <c r="I20" s="4">
        <v>0</v>
      </c>
      <c r="J20" s="4"/>
      <c r="K20" s="4"/>
      <c r="L20" s="4"/>
      <c r="M20" s="4"/>
      <c r="N20" s="4"/>
      <c r="O20" s="17"/>
      <c r="P20" s="17"/>
      <c r="Q20" s="17"/>
      <c r="R20" s="17"/>
      <c r="S20" s="15"/>
      <c r="T20" s="15"/>
      <c r="U20" s="6">
        <f t="shared" si="2"/>
        <v>8.4519925066622106E-3</v>
      </c>
    </row>
    <row r="21" spans="1:22" ht="19.5" thickBot="1" x14ac:dyDescent="0.3">
      <c r="A21" s="4" t="s">
        <v>38</v>
      </c>
      <c r="B21" s="4">
        <v>7.3965928180051189E-3</v>
      </c>
      <c r="C21" s="4">
        <v>0</v>
      </c>
      <c r="D21" s="4">
        <v>0</v>
      </c>
      <c r="E21" s="4">
        <v>0</v>
      </c>
      <c r="F21" s="4">
        <v>1</v>
      </c>
      <c r="G21" s="4">
        <v>0</v>
      </c>
      <c r="H21" s="4">
        <v>1</v>
      </c>
      <c r="I21" s="4">
        <v>1</v>
      </c>
      <c r="J21" s="4"/>
      <c r="K21" s="4"/>
      <c r="L21" s="4"/>
      <c r="M21" s="4"/>
      <c r="N21" s="4"/>
      <c r="O21" s="17"/>
      <c r="P21" s="17"/>
      <c r="Q21" s="17"/>
      <c r="R21" s="17"/>
      <c r="S21" s="17">
        <f>SUM(B21:B24)</f>
        <v>2.8319891645631964E-2</v>
      </c>
      <c r="T21" s="17">
        <f>SUM(B21:B22)</f>
        <v>1.4573310700873345E-2</v>
      </c>
      <c r="U21" s="8">
        <f t="shared" si="2"/>
        <v>7.3965928180051189E-3</v>
      </c>
    </row>
    <row r="22" spans="1:22" ht="19.5" thickBot="1" x14ac:dyDescent="0.3">
      <c r="A22" s="4" t="s">
        <v>37</v>
      </c>
      <c r="B22" s="4">
        <v>7.1767178828682247E-3</v>
      </c>
      <c r="C22" s="4">
        <v>0</v>
      </c>
      <c r="D22" s="4">
        <v>0</v>
      </c>
      <c r="E22" s="4">
        <v>0</v>
      </c>
      <c r="F22" s="4">
        <v>1</v>
      </c>
      <c r="G22" s="4">
        <v>0</v>
      </c>
      <c r="H22" s="4">
        <v>1</v>
      </c>
      <c r="I22" s="4">
        <v>0</v>
      </c>
      <c r="J22" s="4"/>
      <c r="K22" s="4"/>
      <c r="L22" s="4"/>
      <c r="M22" s="4"/>
      <c r="N22" s="4"/>
      <c r="O22" s="17"/>
      <c r="P22" s="17"/>
      <c r="Q22" s="17"/>
      <c r="R22" s="17"/>
      <c r="S22" s="17"/>
      <c r="T22" s="17"/>
      <c r="U22" s="6">
        <f t="shared" si="2"/>
        <v>7.1767178828682247E-3</v>
      </c>
    </row>
    <row r="23" spans="1:22" ht="19.5" thickBot="1" x14ac:dyDescent="0.3">
      <c r="A23" s="4" t="s">
        <v>33</v>
      </c>
      <c r="B23" s="4">
        <v>7.0535879191915641E-3</v>
      </c>
      <c r="C23" s="4">
        <v>0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1</v>
      </c>
      <c r="J23" s="4"/>
      <c r="K23" s="4"/>
      <c r="L23" s="4"/>
      <c r="M23" s="4"/>
      <c r="N23" s="4"/>
      <c r="O23" s="17"/>
      <c r="P23" s="17"/>
      <c r="Q23" s="17"/>
      <c r="R23" s="17"/>
      <c r="S23" s="17"/>
      <c r="T23" s="14">
        <f>SUM(B23:B24)</f>
        <v>1.3746580944758622E-2</v>
      </c>
      <c r="U23" s="10">
        <f t="shared" si="2"/>
        <v>7.0535879191915641E-3</v>
      </c>
    </row>
    <row r="24" spans="1:22" ht="19.5" thickBot="1" x14ac:dyDescent="0.3">
      <c r="A24" s="4" t="s">
        <v>8</v>
      </c>
      <c r="B24" s="4">
        <v>6.6929930255670575E-3</v>
      </c>
      <c r="C24" s="4">
        <v>0</v>
      </c>
      <c r="D24" s="4">
        <v>0</v>
      </c>
      <c r="E24" s="4">
        <v>0</v>
      </c>
      <c r="F24" s="4">
        <v>1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17"/>
      <c r="P24" s="17"/>
      <c r="Q24" s="17"/>
      <c r="R24" s="17"/>
      <c r="S24" s="15"/>
      <c r="T24" s="15"/>
      <c r="U24" s="6">
        <f t="shared" si="2"/>
        <v>6.6929930255670575E-3</v>
      </c>
    </row>
    <row r="25" spans="1:22" ht="19.5" thickBot="1" x14ac:dyDescent="0.3">
      <c r="A25" s="4" t="s">
        <v>14</v>
      </c>
      <c r="B25" s="4">
        <v>6.0685482097782781E-3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1</v>
      </c>
      <c r="I25" s="4">
        <v>1</v>
      </c>
      <c r="J25" s="4"/>
      <c r="K25" s="4"/>
      <c r="L25" s="4"/>
      <c r="M25" s="4"/>
      <c r="N25" s="4"/>
      <c r="O25" s="17"/>
      <c r="P25" s="17"/>
      <c r="Q25" s="17"/>
      <c r="R25" s="14">
        <f>SUM(B25:B51)</f>
        <v>5.9885137333884481E-2</v>
      </c>
      <c r="S25" s="14">
        <f>SUM(B25:B30)</f>
        <v>3.076490092435423E-2</v>
      </c>
      <c r="T25" s="14">
        <f>SUM(B25:B27)</f>
        <v>1.7554814821329628E-2</v>
      </c>
      <c r="U25" s="6">
        <f t="shared" si="2"/>
        <v>6.0685482097782781E-3</v>
      </c>
      <c r="V25" s="11"/>
    </row>
    <row r="26" spans="1:22" ht="19.5" thickBot="1" x14ac:dyDescent="0.3">
      <c r="A26" s="4" t="s">
        <v>6</v>
      </c>
      <c r="B26" s="4">
        <v>6.0069832279399478E-3</v>
      </c>
      <c r="C26" s="4">
        <v>0</v>
      </c>
      <c r="D26" s="4">
        <v>0</v>
      </c>
      <c r="E26" s="4">
        <v>0</v>
      </c>
      <c r="F26" s="4">
        <v>0</v>
      </c>
      <c r="G26" s="4">
        <v>1</v>
      </c>
      <c r="H26" s="4">
        <v>1</v>
      </c>
      <c r="I26" s="4">
        <v>0</v>
      </c>
      <c r="J26" s="4">
        <v>1</v>
      </c>
      <c r="K26" s="4"/>
      <c r="L26" s="4"/>
      <c r="M26" s="4"/>
      <c r="N26" s="4"/>
      <c r="O26" s="17"/>
      <c r="P26" s="17"/>
      <c r="Q26" s="17"/>
      <c r="R26" s="17"/>
      <c r="S26" s="17"/>
      <c r="T26" s="17"/>
      <c r="U26" s="17">
        <f>SUM(B26:B27)</f>
        <v>1.148626661155135E-2</v>
      </c>
      <c r="V26" s="6">
        <f>B26</f>
        <v>6.0069832279399478E-3</v>
      </c>
    </row>
    <row r="27" spans="1:22" ht="19.5" thickBot="1" x14ac:dyDescent="0.3">
      <c r="A27" s="4" t="s">
        <v>27</v>
      </c>
      <c r="B27" s="4">
        <v>5.4792833836114019E-3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1</v>
      </c>
      <c r="I27" s="4">
        <v>0</v>
      </c>
      <c r="J27" s="4">
        <v>0</v>
      </c>
      <c r="K27" s="4"/>
      <c r="L27" s="4"/>
      <c r="M27" s="4"/>
      <c r="N27" s="4"/>
      <c r="O27" s="17"/>
      <c r="P27" s="17"/>
      <c r="Q27" s="17"/>
      <c r="R27" s="17"/>
      <c r="S27" s="17"/>
      <c r="T27" s="15"/>
      <c r="U27" s="15"/>
      <c r="V27" s="6">
        <f>B27</f>
        <v>5.4792833836114019E-3</v>
      </c>
    </row>
    <row r="28" spans="1:22" ht="19.5" thickBot="1" x14ac:dyDescent="0.3">
      <c r="A28" s="4" t="s">
        <v>28</v>
      </c>
      <c r="B28" s="4">
        <v>5.3033834355018863E-3</v>
      </c>
      <c r="C28" s="4">
        <v>0</v>
      </c>
      <c r="D28" s="4">
        <v>0</v>
      </c>
      <c r="E28" s="4">
        <v>0</v>
      </c>
      <c r="F28" s="4">
        <v>0</v>
      </c>
      <c r="G28" s="4">
        <v>1</v>
      </c>
      <c r="H28" s="4">
        <v>0</v>
      </c>
      <c r="I28" s="4">
        <v>1</v>
      </c>
      <c r="J28" s="4"/>
      <c r="K28" s="4"/>
      <c r="L28" s="4"/>
      <c r="M28" s="4"/>
      <c r="N28" s="4"/>
      <c r="O28" s="17"/>
      <c r="P28" s="17"/>
      <c r="Q28" s="17"/>
      <c r="R28" s="17"/>
      <c r="S28" s="17"/>
      <c r="T28" s="17">
        <f>SUM(B28:B30)</f>
        <v>1.3210086103024599E-2</v>
      </c>
      <c r="U28" s="8">
        <f>B28</f>
        <v>5.3033834355018863E-3</v>
      </c>
      <c r="V28" s="6"/>
    </row>
    <row r="29" spans="1:22" ht="19.5" thickBot="1" x14ac:dyDescent="0.3">
      <c r="A29" s="4" t="s">
        <v>35</v>
      </c>
      <c r="B29" s="4">
        <v>4.2128037572228914E-3</v>
      </c>
      <c r="C29" s="4">
        <v>0</v>
      </c>
      <c r="D29" s="4">
        <v>0</v>
      </c>
      <c r="E29" s="4">
        <v>0</v>
      </c>
      <c r="F29" s="4">
        <v>0</v>
      </c>
      <c r="G29" s="4">
        <v>1</v>
      </c>
      <c r="H29" s="4">
        <v>0</v>
      </c>
      <c r="I29" s="4">
        <v>0</v>
      </c>
      <c r="J29" s="4">
        <v>1</v>
      </c>
      <c r="K29" s="4"/>
      <c r="L29" s="4"/>
      <c r="M29" s="4"/>
      <c r="N29" s="4"/>
      <c r="O29" s="17"/>
      <c r="P29" s="17"/>
      <c r="Q29" s="17"/>
      <c r="R29" s="17"/>
      <c r="S29" s="17"/>
      <c r="T29" s="17"/>
      <c r="U29" s="14">
        <f>SUM(B29:B30)</f>
        <v>7.9067026675227123E-3</v>
      </c>
      <c r="V29" s="8">
        <f>B29</f>
        <v>4.2128037572228914E-3</v>
      </c>
    </row>
    <row r="30" spans="1:22" ht="19.5" thickBot="1" x14ac:dyDescent="0.3">
      <c r="A30" s="4" t="s">
        <v>11</v>
      </c>
      <c r="B30" s="4">
        <v>3.6938989102998213E-3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/>
      <c r="L30" s="4"/>
      <c r="M30" s="4"/>
      <c r="N30" s="4"/>
      <c r="O30" s="17"/>
      <c r="P30" s="17"/>
      <c r="Q30" s="17"/>
      <c r="R30" s="17"/>
      <c r="S30" s="17"/>
      <c r="T30" s="15"/>
      <c r="U30" s="15"/>
      <c r="V30" s="6">
        <f>B30</f>
        <v>3.6938989102998213E-3</v>
      </c>
    </row>
    <row r="31" spans="1:22" ht="19.5" thickBot="1" x14ac:dyDescent="0.3">
      <c r="A31" s="4" t="s">
        <v>25</v>
      </c>
      <c r="B31" s="4">
        <v>3.6499239232724427E-3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1</v>
      </c>
      <c r="J31" s="4">
        <v>1</v>
      </c>
      <c r="K31" s="4"/>
      <c r="L31" s="4"/>
      <c r="M31" s="4"/>
      <c r="N31" s="4"/>
      <c r="O31" s="17"/>
      <c r="P31" s="17"/>
      <c r="Q31" s="17"/>
      <c r="R31" s="17"/>
      <c r="S31" s="14">
        <f>SUM(B31:B51)</f>
        <v>2.9120236409530261E-2</v>
      </c>
      <c r="T31" s="14">
        <f>SUM(B31:B35)</f>
        <v>1.4740415651577382E-2</v>
      </c>
      <c r="U31" s="14">
        <f>SUM(B31:B32)</f>
        <v>7.0535879191915641E-3</v>
      </c>
      <c r="V31" s="8">
        <f>B31</f>
        <v>3.6499239232724427E-3</v>
      </c>
    </row>
    <row r="32" spans="1:22" ht="19.5" thickBot="1" x14ac:dyDescent="0.3">
      <c r="A32" s="4" t="s">
        <v>26</v>
      </c>
      <c r="B32" s="4">
        <v>3.4036639959191214E-3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1</v>
      </c>
      <c r="J32" s="4">
        <v>0</v>
      </c>
      <c r="K32" s="4"/>
      <c r="L32" s="4"/>
      <c r="M32" s="4"/>
      <c r="N32" s="4"/>
      <c r="O32" s="17"/>
      <c r="P32" s="17"/>
      <c r="Q32" s="17"/>
      <c r="R32" s="17"/>
      <c r="S32" s="17"/>
      <c r="T32" s="17"/>
      <c r="U32" s="17"/>
      <c r="V32" s="10">
        <f>B32</f>
        <v>3.4036639959191214E-3</v>
      </c>
    </row>
    <row r="33" spans="1:25" ht="19.5" thickBot="1" x14ac:dyDescent="0.3">
      <c r="A33" s="4" t="s">
        <v>30</v>
      </c>
      <c r="B33" s="4">
        <v>3.0782490919165177E-3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1</v>
      </c>
      <c r="K33" s="4"/>
      <c r="L33" s="4"/>
      <c r="M33" s="4"/>
      <c r="N33" s="4"/>
      <c r="O33" s="17"/>
      <c r="P33" s="17"/>
      <c r="Q33" s="17"/>
      <c r="R33" s="17"/>
      <c r="S33" s="17"/>
      <c r="T33" s="17"/>
      <c r="U33" s="14">
        <f>SUM(B33:B35)</f>
        <v>7.6868277323858189E-3</v>
      </c>
      <c r="V33" s="6">
        <f>B33</f>
        <v>3.0782490919165177E-3</v>
      </c>
      <c r="W33" s="11"/>
    </row>
    <row r="34" spans="1:25" ht="19.5" thickBot="1" x14ac:dyDescent="0.3">
      <c r="A34" s="4" t="s">
        <v>40</v>
      </c>
      <c r="B34" s="4">
        <v>2.6736792112646325E-3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1</v>
      </c>
      <c r="L34" s="4"/>
      <c r="M34" s="4"/>
      <c r="N34" s="4"/>
      <c r="O34" s="17"/>
      <c r="P34" s="17"/>
      <c r="Q34" s="17"/>
      <c r="R34" s="17"/>
      <c r="S34" s="17"/>
      <c r="T34" s="17"/>
      <c r="U34" s="17"/>
      <c r="V34" s="17">
        <f>SUM(B34:B35)</f>
        <v>4.6085786404693012E-3</v>
      </c>
      <c r="W34" s="6">
        <f t="shared" ref="W34:W39" si="3">B34</f>
        <v>2.6736792112646325E-3</v>
      </c>
    </row>
    <row r="35" spans="1:25" ht="19.5" thickBot="1" x14ac:dyDescent="0.3">
      <c r="A35" s="4">
        <v>1</v>
      </c>
      <c r="B35" s="4">
        <v>1.9348994292046685E-3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4">
        <v>0</v>
      </c>
      <c r="K35" s="4">
        <v>0</v>
      </c>
      <c r="L35" s="4"/>
      <c r="M35" s="4"/>
      <c r="N35" s="4"/>
      <c r="O35" s="17"/>
      <c r="P35" s="17"/>
      <c r="Q35" s="17"/>
      <c r="R35" s="17"/>
      <c r="S35" s="17"/>
      <c r="T35" s="17"/>
      <c r="U35" s="17"/>
      <c r="V35" s="17"/>
      <c r="W35" s="8">
        <f t="shared" si="3"/>
        <v>1.9348994292046685E-3</v>
      </c>
    </row>
    <row r="36" spans="1:25" ht="19.5" thickBot="1" x14ac:dyDescent="0.3">
      <c r="A36" s="4" t="s">
        <v>39</v>
      </c>
      <c r="B36" s="4">
        <v>1.8997194395827654E-3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1</v>
      </c>
      <c r="J36" s="4">
        <v>1</v>
      </c>
      <c r="K36" s="4">
        <v>1</v>
      </c>
      <c r="L36" s="4"/>
      <c r="M36" s="4"/>
      <c r="N36" s="4"/>
      <c r="O36" s="17"/>
      <c r="P36" s="17"/>
      <c r="Q36" s="17"/>
      <c r="R36" s="17"/>
      <c r="S36" s="17"/>
      <c r="T36" s="14">
        <f>SUM(B36:B51)</f>
        <v>1.4379820757952874E-2</v>
      </c>
      <c r="U36" s="14">
        <f>SUM(B36:B39)</f>
        <v>7.0887679088134673E-3</v>
      </c>
      <c r="V36" s="14">
        <f>SUM(B36:B37)</f>
        <v>3.711488905110773E-3</v>
      </c>
      <c r="W36" s="10">
        <f t="shared" si="3"/>
        <v>1.8997194395827654E-3</v>
      </c>
    </row>
    <row r="37" spans="1:25" ht="19.5" thickBot="1" x14ac:dyDescent="0.3">
      <c r="A37" s="4" t="s">
        <v>34</v>
      </c>
      <c r="B37" s="4">
        <v>1.8117694655280076E-3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1</v>
      </c>
      <c r="J37" s="4">
        <v>1</v>
      </c>
      <c r="K37" s="4">
        <v>0</v>
      </c>
      <c r="L37" s="4"/>
      <c r="M37" s="4"/>
      <c r="N37" s="4"/>
      <c r="O37" s="17"/>
      <c r="P37" s="17"/>
      <c r="Q37" s="17"/>
      <c r="R37" s="17"/>
      <c r="S37" s="17"/>
      <c r="T37" s="17"/>
      <c r="U37" s="17"/>
      <c r="V37" s="17"/>
      <c r="W37" s="6">
        <f t="shared" si="3"/>
        <v>1.8117694655280076E-3</v>
      </c>
    </row>
    <row r="38" spans="1:25" ht="19.5" thickBot="1" x14ac:dyDescent="0.3">
      <c r="A38" s="4" t="s">
        <v>42</v>
      </c>
      <c r="B38" s="4">
        <v>1.72381949147325E-3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</v>
      </c>
      <c r="J38" s="4">
        <v>0</v>
      </c>
      <c r="K38" s="4">
        <v>1</v>
      </c>
      <c r="L38" s="4"/>
      <c r="M38" s="4"/>
      <c r="N38" s="4"/>
      <c r="O38" s="17"/>
      <c r="P38" s="17"/>
      <c r="Q38" s="17"/>
      <c r="R38" s="17"/>
      <c r="S38" s="17"/>
      <c r="T38" s="17"/>
      <c r="U38" s="17"/>
      <c r="V38" s="14">
        <f>SUM(B38:B39)</f>
        <v>3.3772790037026939E-3</v>
      </c>
      <c r="W38" s="10">
        <f t="shared" si="3"/>
        <v>1.72381949147325E-3</v>
      </c>
    </row>
    <row r="39" spans="1:25" ht="19.5" thickBot="1" x14ac:dyDescent="0.3">
      <c r="A39" s="4">
        <v>0</v>
      </c>
      <c r="B39" s="4">
        <v>1.6534595122294439E-3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1</v>
      </c>
      <c r="J39" s="4">
        <v>0</v>
      </c>
      <c r="K39" s="4">
        <v>0</v>
      </c>
      <c r="L39" s="4"/>
      <c r="M39" s="4"/>
      <c r="N39" s="4"/>
      <c r="O39" s="17"/>
      <c r="P39" s="17"/>
      <c r="Q39" s="17"/>
      <c r="R39" s="17"/>
      <c r="S39" s="17"/>
      <c r="T39" s="17"/>
      <c r="U39" s="15"/>
      <c r="V39" s="17"/>
      <c r="W39" s="10">
        <f t="shared" si="3"/>
        <v>1.6534595122294439E-3</v>
      </c>
    </row>
    <row r="40" spans="1:25" ht="19.5" thickBot="1" x14ac:dyDescent="0.3">
      <c r="A40" s="4">
        <v>2</v>
      </c>
      <c r="B40" s="4">
        <v>1.1697346549282767E-3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</v>
      </c>
      <c r="K40" s="4">
        <v>1</v>
      </c>
      <c r="L40" s="4">
        <v>1</v>
      </c>
      <c r="M40" s="4"/>
      <c r="N40" s="4"/>
      <c r="O40" s="17"/>
      <c r="P40" s="17"/>
      <c r="Q40" s="17"/>
      <c r="R40" s="17"/>
      <c r="S40" s="17"/>
      <c r="T40" s="17"/>
      <c r="U40" s="17">
        <f>SUM(B40:B51)</f>
        <v>7.2910528491394091E-3</v>
      </c>
      <c r="V40" s="14">
        <f>SUM(B40:B43)</f>
        <v>4.25677874425027E-3</v>
      </c>
      <c r="W40" s="14">
        <f>SUM(B40:B41)</f>
        <v>2.2779043280182231E-3</v>
      </c>
      <c r="X40" s="6">
        <f>B40</f>
        <v>1.1697346549282767E-3</v>
      </c>
    </row>
    <row r="41" spans="1:25" ht="19.5" thickBot="1" x14ac:dyDescent="0.3">
      <c r="A41" s="4" t="s">
        <v>29</v>
      </c>
      <c r="B41" s="4">
        <v>1.1081696730899464E-3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</v>
      </c>
      <c r="K41" s="4">
        <v>1</v>
      </c>
      <c r="L41" s="4">
        <v>0</v>
      </c>
      <c r="M41" s="4"/>
      <c r="N41" s="4"/>
      <c r="O41" s="17"/>
      <c r="P41" s="17"/>
      <c r="Q41" s="17"/>
      <c r="R41" s="17"/>
      <c r="S41" s="17"/>
      <c r="T41" s="17"/>
      <c r="U41" s="17"/>
      <c r="V41" s="17"/>
      <c r="W41" s="15"/>
      <c r="X41" s="6">
        <f>B41</f>
        <v>1.1081696730899464E-3</v>
      </c>
    </row>
    <row r="42" spans="1:25" ht="19.5" thickBot="1" x14ac:dyDescent="0.3">
      <c r="A42" s="4">
        <v>7</v>
      </c>
      <c r="B42" s="4">
        <v>1.0026297042242372E-3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</v>
      </c>
      <c r="K42" s="4">
        <v>0</v>
      </c>
      <c r="L42" s="4">
        <v>1</v>
      </c>
      <c r="M42" s="4"/>
      <c r="N42" s="4"/>
      <c r="O42" s="17"/>
      <c r="P42" s="17"/>
      <c r="Q42" s="17"/>
      <c r="R42" s="17"/>
      <c r="S42" s="17"/>
      <c r="T42" s="17"/>
      <c r="U42" s="17"/>
      <c r="V42" s="17"/>
      <c r="W42" s="17">
        <f>SUM(B42:B43)</f>
        <v>1.9788744162320474E-3</v>
      </c>
      <c r="X42" s="8">
        <f>B42</f>
        <v>1.0026297042242372E-3</v>
      </c>
    </row>
    <row r="43" spans="1:25" ht="19.5" thickBot="1" x14ac:dyDescent="0.3">
      <c r="A43" s="4">
        <v>3</v>
      </c>
      <c r="B43" s="4">
        <v>9.7624471200780994E-4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</v>
      </c>
      <c r="K43" s="4">
        <v>0</v>
      </c>
      <c r="L43" s="4">
        <v>0</v>
      </c>
      <c r="M43" s="4"/>
      <c r="N43" s="4"/>
      <c r="O43" s="17"/>
      <c r="P43" s="17"/>
      <c r="Q43" s="17"/>
      <c r="R43" s="17"/>
      <c r="S43" s="17"/>
      <c r="T43" s="17"/>
      <c r="U43" s="17"/>
      <c r="V43" s="15"/>
      <c r="W43" s="15"/>
      <c r="X43" s="6">
        <f>B43</f>
        <v>9.7624471200780994E-4</v>
      </c>
    </row>
    <row r="44" spans="1:25" ht="19.5" thickBot="1" x14ac:dyDescent="0.3">
      <c r="A44" s="4">
        <v>8</v>
      </c>
      <c r="B44" s="4">
        <v>6.5962480541068241E-4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1</v>
      </c>
      <c r="M44" s="4"/>
      <c r="N44" s="4"/>
      <c r="O44" s="17"/>
      <c r="P44" s="17"/>
      <c r="Q44" s="17"/>
      <c r="R44" s="17"/>
      <c r="S44" s="17"/>
      <c r="T44" s="17"/>
      <c r="U44" s="17"/>
      <c r="V44" s="17">
        <f>SUM(B44:B51)</f>
        <v>3.034274104889139E-3</v>
      </c>
      <c r="W44" s="17">
        <f>SUM(B44:B46)</f>
        <v>1.8293594603389592E-3</v>
      </c>
      <c r="X44" s="11">
        <f>B44</f>
        <v>6.5962480541068241E-4</v>
      </c>
      <c r="Y44" s="11"/>
    </row>
    <row r="45" spans="1:25" ht="19.5" thickBot="1" x14ac:dyDescent="0.3">
      <c r="A45" s="4">
        <v>5</v>
      </c>
      <c r="B45" s="4">
        <v>6.2444481578877934E-4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  <c r="M45" s="4">
        <v>1</v>
      </c>
      <c r="N45" s="4"/>
      <c r="O45" s="17"/>
      <c r="P45" s="17"/>
      <c r="Q45" s="17"/>
      <c r="R45" s="17"/>
      <c r="S45" s="17"/>
      <c r="T45" s="17"/>
      <c r="U45" s="17"/>
      <c r="V45" s="17"/>
      <c r="W45" s="17"/>
      <c r="X45" s="14">
        <f>SUM(B45:B46)</f>
        <v>1.1697346549282769E-3</v>
      </c>
      <c r="Y45" s="8">
        <f>B45</f>
        <v>6.2444481578877934E-4</v>
      </c>
    </row>
    <row r="46" spans="1:25" ht="19.5" thickBot="1" x14ac:dyDescent="0.3">
      <c r="A46" s="4">
        <v>4</v>
      </c>
      <c r="B46" s="4">
        <v>5.4528983913949749E-4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</v>
      </c>
      <c r="L46" s="4">
        <v>0</v>
      </c>
      <c r="M46" s="4">
        <v>0</v>
      </c>
      <c r="N46" s="4"/>
      <c r="O46" s="17"/>
      <c r="P46" s="17"/>
      <c r="Q46" s="17"/>
      <c r="R46" s="17"/>
      <c r="S46" s="17"/>
      <c r="T46" s="17"/>
      <c r="U46" s="17"/>
      <c r="V46" s="17"/>
      <c r="W46" s="17"/>
      <c r="X46" s="15"/>
      <c r="Y46" s="6">
        <f>B46</f>
        <v>5.4528983913949749E-4</v>
      </c>
    </row>
    <row r="47" spans="1:25" ht="19.5" thickBot="1" x14ac:dyDescent="0.3">
      <c r="A47" s="4">
        <v>6</v>
      </c>
      <c r="B47" s="4">
        <v>4.4854486767926404E-4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1</v>
      </c>
      <c r="N47" s="4"/>
      <c r="O47" s="17"/>
      <c r="P47" s="17"/>
      <c r="Q47" s="17"/>
      <c r="R47" s="17"/>
      <c r="S47" s="17"/>
      <c r="T47" s="17"/>
      <c r="U47" s="17"/>
      <c r="V47" s="17"/>
      <c r="W47" s="14">
        <f>SUM(B47:B51)</f>
        <v>1.2049146445501798E-3</v>
      </c>
      <c r="X47" s="14">
        <f>SUM(B47:B48)</f>
        <v>8.3552475352019766E-4</v>
      </c>
      <c r="Y47" s="8">
        <f>B47</f>
        <v>4.4854486767926404E-4</v>
      </c>
    </row>
    <row r="48" spans="1:25" ht="19.5" thickBot="1" x14ac:dyDescent="0.3">
      <c r="A48" s="4">
        <v>9</v>
      </c>
      <c r="B48" s="4">
        <v>3.8697988584093367E-4</v>
      </c>
      <c r="C48" s="13">
        <v>0</v>
      </c>
      <c r="D48" s="13">
        <v>0</v>
      </c>
      <c r="E48" s="13">
        <v>0</v>
      </c>
      <c r="F48" s="13">
        <v>0</v>
      </c>
      <c r="G48" s="4">
        <v>0</v>
      </c>
      <c r="H48" s="4">
        <v>0</v>
      </c>
      <c r="I48" s="4">
        <v>0</v>
      </c>
      <c r="J48" s="4">
        <v>0</v>
      </c>
      <c r="K48" s="9">
        <v>0</v>
      </c>
      <c r="L48" s="9">
        <v>1</v>
      </c>
      <c r="M48" s="9">
        <v>0</v>
      </c>
      <c r="N48" s="9"/>
      <c r="O48" s="18"/>
      <c r="P48" s="17"/>
      <c r="Q48" s="17"/>
      <c r="R48" s="17"/>
      <c r="S48" s="17"/>
      <c r="T48" s="17"/>
      <c r="U48" s="17"/>
      <c r="V48" s="17"/>
      <c r="W48" s="17"/>
      <c r="X48" s="15"/>
      <c r="Y48" s="10">
        <f>B48</f>
        <v>3.8697988584093367E-4</v>
      </c>
    </row>
    <row r="49" spans="1:26" ht="19.5" thickBot="1" x14ac:dyDescent="0.3">
      <c r="A49" s="4" t="s">
        <v>31</v>
      </c>
      <c r="B49" s="4">
        <v>3.6059489362450637E-4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</v>
      </c>
      <c r="N49" s="4"/>
      <c r="O49" s="18"/>
      <c r="P49" s="17"/>
      <c r="Q49" s="17"/>
      <c r="R49" s="17"/>
      <c r="S49" s="17"/>
      <c r="T49" s="17"/>
      <c r="U49" s="17"/>
      <c r="V49" s="17"/>
      <c r="W49" s="17"/>
      <c r="X49" s="17">
        <f>SUM(B49:B51)</f>
        <v>3.6938989102998213E-4</v>
      </c>
      <c r="Y49" s="10">
        <f>B49</f>
        <v>3.6059489362450637E-4</v>
      </c>
    </row>
    <row r="50" spans="1:26" ht="19.5" thickBot="1" x14ac:dyDescent="0.3">
      <c r="A50" s="4" t="s">
        <v>43</v>
      </c>
      <c r="B50" s="4">
        <v>8.794997405475766E-6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1</v>
      </c>
      <c r="O50" s="18"/>
      <c r="P50" s="17"/>
      <c r="Q50" s="17"/>
      <c r="R50" s="17"/>
      <c r="S50" s="17"/>
      <c r="T50" s="17"/>
      <c r="U50" s="17"/>
      <c r="V50" s="17"/>
      <c r="W50" s="17"/>
      <c r="X50" s="17"/>
      <c r="Y50" s="14">
        <f>SUM(B50:B51)</f>
        <v>8.794997405475766E-6</v>
      </c>
      <c r="Z50" s="10">
        <f>B50</f>
        <v>8.794997405475766E-6</v>
      </c>
    </row>
    <row r="51" spans="1:26" ht="19.5" thickBot="1" x14ac:dyDescent="0.3">
      <c r="A51" s="4" t="s">
        <v>44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19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6">
        <f>B51</f>
        <v>0</v>
      </c>
    </row>
    <row r="69" spans="4:6" x14ac:dyDescent="0.25">
      <c r="D69" s="12" t="e">
        <f>SUM(#REF!)</f>
        <v>#REF!</v>
      </c>
      <c r="E69" s="12">
        <f>SUM(B2:B51)</f>
        <v>0.99999999999999978</v>
      </c>
      <c r="F69" s="12" t="e">
        <f>SUM(#REF!)</f>
        <v>#REF!</v>
      </c>
    </row>
  </sheetData>
  <autoFilter ref="A1:B52" xr:uid="{D9C0780A-0597-4464-972F-8CCA1B377529}">
    <sortState xmlns:xlrd2="http://schemas.microsoft.com/office/spreadsheetml/2017/richdata2" ref="A2:B52">
      <sortCondition descending="1" ref="B1:B52"/>
    </sortState>
  </autoFilter>
  <mergeCells count="49">
    <mergeCell ref="O2:O3"/>
    <mergeCell ref="O4:O51"/>
    <mergeCell ref="P4:P10"/>
    <mergeCell ref="P11:P51"/>
    <mergeCell ref="Q4:Q6"/>
    <mergeCell ref="Q7:Q10"/>
    <mergeCell ref="R7:R8"/>
    <mergeCell ref="R9:R10"/>
    <mergeCell ref="R5:R6"/>
    <mergeCell ref="Q11:Q17"/>
    <mergeCell ref="Q18:Q51"/>
    <mergeCell ref="R11:R13"/>
    <mergeCell ref="R14:R17"/>
    <mergeCell ref="S12:S13"/>
    <mergeCell ref="S14:S15"/>
    <mergeCell ref="S16:S17"/>
    <mergeCell ref="R18:R24"/>
    <mergeCell ref="R25:R51"/>
    <mergeCell ref="S18:S20"/>
    <mergeCell ref="S21:S24"/>
    <mergeCell ref="T19:T20"/>
    <mergeCell ref="T21:T22"/>
    <mergeCell ref="T23:T24"/>
    <mergeCell ref="S25:S30"/>
    <mergeCell ref="V40:V43"/>
    <mergeCell ref="V44:V51"/>
    <mergeCell ref="S31:S51"/>
    <mergeCell ref="T25:T27"/>
    <mergeCell ref="T28:T30"/>
    <mergeCell ref="U26:U27"/>
    <mergeCell ref="U29:U30"/>
    <mergeCell ref="T31:T35"/>
    <mergeCell ref="T36:T51"/>
    <mergeCell ref="Y50:Y51"/>
    <mergeCell ref="C1:N1"/>
    <mergeCell ref="W40:W41"/>
    <mergeCell ref="W42:W43"/>
    <mergeCell ref="W44:W46"/>
    <mergeCell ref="W47:W51"/>
    <mergeCell ref="X45:X46"/>
    <mergeCell ref="X47:X48"/>
    <mergeCell ref="X49:X51"/>
    <mergeCell ref="U31:U32"/>
    <mergeCell ref="U33:U35"/>
    <mergeCell ref="V34:V35"/>
    <mergeCell ref="U36:U39"/>
    <mergeCell ref="U40:U51"/>
    <mergeCell ref="V36:V37"/>
    <mergeCell ref="V38:V39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86F2-F2B1-426F-AF96-9751BEAF05A2}">
  <dimension ref="A1:CT51"/>
  <sheetViews>
    <sheetView topLeftCell="O1" workbookViewId="0">
      <selection activeCell="O1" sqref="O1:CT4"/>
    </sheetView>
  </sheetViews>
  <sheetFormatPr defaultRowHeight="18.75" x14ac:dyDescent="0.3"/>
  <cols>
    <col min="1" max="1" width="12.140625" style="20" bestFit="1" customWidth="1"/>
    <col min="2" max="13" width="2.85546875" style="20" bestFit="1" customWidth="1"/>
    <col min="14" max="14" width="24.7109375" style="20" bestFit="1" customWidth="1"/>
    <col min="15" max="30" width="2.7109375" style="20" bestFit="1" customWidth="1"/>
    <col min="31" max="31" width="2.85546875" style="20" bestFit="1" customWidth="1"/>
    <col min="32" max="98" width="2.7109375" style="20" bestFit="1" customWidth="1"/>
    <col min="99" max="16384" width="9.140625" style="20"/>
  </cols>
  <sheetData>
    <row r="1" spans="1:98" ht="19.5" thickBot="1" x14ac:dyDescent="0.35">
      <c r="A1" s="4" t="s">
        <v>1</v>
      </c>
      <c r="B1" s="16" t="s">
        <v>45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O1" s="24" t="s">
        <v>60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</row>
    <row r="2" spans="1:98" ht="19.5" thickBot="1" x14ac:dyDescent="0.35">
      <c r="A2" s="4" t="s">
        <v>59</v>
      </c>
      <c r="B2" s="4">
        <v>1</v>
      </c>
      <c r="C2" s="4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O2" s="22" t="s">
        <v>9</v>
      </c>
      <c r="P2" s="22"/>
      <c r="Q2" s="22"/>
      <c r="R2" s="22"/>
      <c r="S2" s="22"/>
      <c r="T2" s="22"/>
      <c r="U2" s="22" t="s">
        <v>19</v>
      </c>
      <c r="V2" s="22"/>
      <c r="W2" s="22" t="s">
        <v>11</v>
      </c>
      <c r="X2" s="22"/>
      <c r="Y2" s="22"/>
      <c r="Z2" s="22"/>
      <c r="AA2" s="22"/>
      <c r="AB2" s="22"/>
      <c r="AC2" s="22"/>
      <c r="AD2" s="22"/>
      <c r="AE2" s="22" t="s">
        <v>9</v>
      </c>
      <c r="AF2" s="22"/>
      <c r="AG2" s="22"/>
      <c r="AH2" s="22"/>
      <c r="AI2" s="22"/>
      <c r="AJ2" s="22"/>
      <c r="AK2" s="22" t="s">
        <v>33</v>
      </c>
      <c r="AL2" s="22"/>
      <c r="AM2" s="22"/>
      <c r="AN2" s="22"/>
      <c r="AO2" s="22"/>
      <c r="AP2" s="22"/>
      <c r="AQ2" s="22"/>
      <c r="AR2" s="22"/>
      <c r="AS2" s="22"/>
      <c r="AT2" s="22" t="s">
        <v>20</v>
      </c>
      <c r="AU2" s="22"/>
      <c r="AV2" s="22"/>
      <c r="AW2" s="22"/>
      <c r="AX2" s="22"/>
      <c r="AY2" s="22"/>
      <c r="AZ2" s="22" t="s">
        <v>19</v>
      </c>
      <c r="BA2" s="22"/>
      <c r="BB2" s="22" t="s">
        <v>29</v>
      </c>
      <c r="BC2" s="22"/>
      <c r="BD2" s="22"/>
      <c r="BE2" s="22"/>
      <c r="BF2" s="22"/>
      <c r="BG2" s="22"/>
      <c r="BH2" s="22"/>
      <c r="BI2" s="22"/>
      <c r="BJ2" s="22"/>
      <c r="BK2" s="22"/>
      <c r="BL2" s="22" t="s">
        <v>10</v>
      </c>
      <c r="BM2" s="22"/>
      <c r="BN2" s="22"/>
      <c r="BO2" s="22"/>
      <c r="BP2" s="22" t="s">
        <v>16</v>
      </c>
      <c r="BQ2" s="22"/>
      <c r="BR2" s="22"/>
      <c r="BS2" s="22"/>
      <c r="BT2" s="22"/>
      <c r="BU2" s="22"/>
      <c r="BV2" s="22"/>
      <c r="BW2" s="22"/>
      <c r="BX2" s="16" t="s">
        <v>22</v>
      </c>
      <c r="BY2" s="16"/>
      <c r="BZ2" s="16"/>
      <c r="CA2" s="16"/>
      <c r="CB2" s="16"/>
      <c r="CC2" s="22" t="s">
        <v>18</v>
      </c>
      <c r="CD2" s="22"/>
      <c r="CE2" s="22"/>
      <c r="CF2" s="22"/>
      <c r="CG2" s="22"/>
      <c r="CH2" s="22" t="s">
        <v>19</v>
      </c>
      <c r="CI2" s="22"/>
      <c r="CJ2" s="22" t="s">
        <v>7</v>
      </c>
      <c r="CK2" s="22"/>
      <c r="CL2" s="22"/>
      <c r="CM2" s="22"/>
      <c r="CN2" s="22"/>
      <c r="CO2" s="22"/>
      <c r="CP2" s="22" t="s">
        <v>5</v>
      </c>
      <c r="CQ2" s="22"/>
      <c r="CR2" s="22"/>
      <c r="CS2" s="22"/>
      <c r="CT2" s="22"/>
    </row>
    <row r="3" spans="1:98" ht="19.5" thickBot="1" x14ac:dyDescent="0.35">
      <c r="A3" s="4" t="s">
        <v>19</v>
      </c>
      <c r="B3" s="4">
        <v>1</v>
      </c>
      <c r="C3" s="4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O3" s="25" t="s">
        <v>61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</row>
    <row r="4" spans="1:98" ht="19.5" thickBot="1" x14ac:dyDescent="0.35">
      <c r="A4" s="4" t="s">
        <v>10</v>
      </c>
      <c r="B4" s="4">
        <v>0</v>
      </c>
      <c r="C4" s="4">
        <v>1</v>
      </c>
      <c r="D4" s="4">
        <v>1</v>
      </c>
      <c r="E4" s="4">
        <v>1</v>
      </c>
      <c r="F4" s="4"/>
      <c r="G4" s="4"/>
      <c r="H4" s="4"/>
      <c r="I4" s="4"/>
      <c r="J4" s="4"/>
      <c r="K4" s="4"/>
      <c r="L4" s="4"/>
      <c r="M4" s="4"/>
      <c r="O4" s="23">
        <v>0</v>
      </c>
      <c r="P4" s="23">
        <v>0</v>
      </c>
      <c r="Q4" s="23">
        <v>1</v>
      </c>
      <c r="R4" s="23">
        <v>0</v>
      </c>
      <c r="S4" s="23">
        <v>1</v>
      </c>
      <c r="T4" s="23">
        <v>0</v>
      </c>
      <c r="U4" s="23">
        <v>1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1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1</v>
      </c>
      <c r="AH4" s="23">
        <v>0</v>
      </c>
      <c r="AI4" s="23">
        <v>1</v>
      </c>
      <c r="AJ4" s="23">
        <v>0</v>
      </c>
      <c r="AK4" s="23">
        <v>0</v>
      </c>
      <c r="AL4" s="23">
        <v>0</v>
      </c>
      <c r="AM4" s="23">
        <v>0</v>
      </c>
      <c r="AN4" s="23">
        <v>1</v>
      </c>
      <c r="AO4" s="23">
        <v>0</v>
      </c>
      <c r="AP4" s="23">
        <v>0</v>
      </c>
      <c r="AQ4" s="23">
        <v>1</v>
      </c>
      <c r="AR4" s="23">
        <v>1</v>
      </c>
      <c r="AS4" s="23">
        <v>1</v>
      </c>
      <c r="AT4" s="23">
        <v>0</v>
      </c>
      <c r="AU4" s="23">
        <v>0</v>
      </c>
      <c r="AV4" s="23">
        <v>1</v>
      </c>
      <c r="AW4" s="23">
        <v>1</v>
      </c>
      <c r="AX4" s="23">
        <v>0</v>
      </c>
      <c r="AY4" s="23">
        <v>1</v>
      </c>
      <c r="AZ4" s="23">
        <v>1</v>
      </c>
      <c r="BA4" s="23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1</v>
      </c>
      <c r="BJ4" s="4">
        <v>1</v>
      </c>
      <c r="BK4" s="4">
        <v>0</v>
      </c>
      <c r="BL4" s="4">
        <v>0</v>
      </c>
      <c r="BM4" s="4">
        <v>1</v>
      </c>
      <c r="BN4" s="4">
        <v>1</v>
      </c>
      <c r="BO4" s="4">
        <v>1</v>
      </c>
      <c r="BP4" s="4">
        <v>0</v>
      </c>
      <c r="BQ4" s="4">
        <v>0</v>
      </c>
      <c r="BR4" s="4">
        <v>1</v>
      </c>
      <c r="BS4" s="4">
        <v>0</v>
      </c>
      <c r="BT4" s="4">
        <v>1</v>
      </c>
      <c r="BU4" s="4">
        <v>1</v>
      </c>
      <c r="BV4" s="23">
        <v>1</v>
      </c>
      <c r="BW4" s="23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4">
        <v>0</v>
      </c>
      <c r="CD4" s="4">
        <v>1</v>
      </c>
      <c r="CE4" s="4">
        <v>0</v>
      </c>
      <c r="CF4" s="4">
        <v>0</v>
      </c>
      <c r="CG4" s="4">
        <v>1</v>
      </c>
      <c r="CH4" s="23">
        <v>1</v>
      </c>
      <c r="CI4" s="23">
        <v>0</v>
      </c>
      <c r="CJ4" s="4">
        <v>0</v>
      </c>
      <c r="CK4" s="4">
        <v>0</v>
      </c>
      <c r="CL4" s="4">
        <v>1</v>
      </c>
      <c r="CM4" s="4">
        <v>1</v>
      </c>
      <c r="CN4" s="4">
        <v>0</v>
      </c>
      <c r="CO4" s="4">
        <v>0</v>
      </c>
      <c r="CP4" s="4">
        <v>0</v>
      </c>
      <c r="CQ4" s="4">
        <v>1</v>
      </c>
      <c r="CR4" s="4">
        <v>1</v>
      </c>
      <c r="CS4" s="4">
        <v>0</v>
      </c>
      <c r="CT4" s="4">
        <v>0</v>
      </c>
    </row>
    <row r="5" spans="1:98" ht="19.5" thickBot="1" x14ac:dyDescent="0.35">
      <c r="A5" s="4" t="s">
        <v>13</v>
      </c>
      <c r="B5" s="4">
        <v>0</v>
      </c>
      <c r="C5" s="4">
        <v>1</v>
      </c>
      <c r="D5" s="4">
        <v>1</v>
      </c>
      <c r="E5" s="4">
        <v>0</v>
      </c>
      <c r="F5" s="4">
        <v>1</v>
      </c>
      <c r="G5" s="4"/>
      <c r="H5" s="4"/>
      <c r="I5" s="4"/>
      <c r="J5" s="4"/>
      <c r="K5" s="4"/>
      <c r="L5" s="4"/>
      <c r="M5" s="4"/>
    </row>
    <row r="6" spans="1:98" ht="19.5" thickBot="1" x14ac:dyDescent="0.35">
      <c r="A6" s="4" t="s">
        <v>5</v>
      </c>
      <c r="B6" s="4">
        <v>0</v>
      </c>
      <c r="C6" s="4">
        <v>1</v>
      </c>
      <c r="D6" s="4">
        <v>1</v>
      </c>
      <c r="E6" s="4">
        <v>0</v>
      </c>
      <c r="F6" s="4">
        <v>0</v>
      </c>
      <c r="G6" s="4"/>
      <c r="H6" s="4"/>
      <c r="I6" s="4"/>
      <c r="J6" s="4"/>
      <c r="K6" s="4"/>
      <c r="L6" s="4"/>
      <c r="M6" s="4"/>
    </row>
    <row r="7" spans="1:98" ht="19.5" thickBot="1" x14ac:dyDescent="0.35">
      <c r="A7" s="4" t="s">
        <v>21</v>
      </c>
      <c r="B7" s="4">
        <v>0</v>
      </c>
      <c r="C7" s="4">
        <v>1</v>
      </c>
      <c r="D7" s="4">
        <v>0</v>
      </c>
      <c r="E7" s="4">
        <v>1</v>
      </c>
      <c r="F7" s="4">
        <v>1</v>
      </c>
      <c r="G7" s="4"/>
      <c r="H7" s="4"/>
      <c r="I7" s="4"/>
      <c r="J7" s="4"/>
      <c r="K7" s="4"/>
      <c r="L7" s="4"/>
      <c r="M7" s="4"/>
    </row>
    <row r="8" spans="1:98" ht="19.5" thickBot="1" x14ac:dyDescent="0.35">
      <c r="A8" s="4" t="s">
        <v>23</v>
      </c>
      <c r="B8" s="4">
        <v>0</v>
      </c>
      <c r="C8" s="4">
        <v>1</v>
      </c>
      <c r="D8" s="4">
        <v>0</v>
      </c>
      <c r="E8" s="4">
        <v>1</v>
      </c>
      <c r="F8" s="4">
        <v>0</v>
      </c>
      <c r="G8" s="4"/>
      <c r="H8" s="4"/>
      <c r="I8" s="4"/>
      <c r="J8" s="4"/>
      <c r="K8" s="4"/>
      <c r="L8" s="4"/>
      <c r="M8" s="4"/>
    </row>
    <row r="9" spans="1:98" ht="19.5" thickBot="1" x14ac:dyDescent="0.35">
      <c r="A9" s="4" t="s">
        <v>18</v>
      </c>
      <c r="B9" s="4">
        <v>0</v>
      </c>
      <c r="C9" s="4">
        <v>1</v>
      </c>
      <c r="D9" s="4">
        <v>0</v>
      </c>
      <c r="E9" s="4">
        <v>0</v>
      </c>
      <c r="F9" s="4">
        <v>1</v>
      </c>
      <c r="G9" s="4"/>
      <c r="H9" s="4"/>
      <c r="I9" s="4"/>
      <c r="J9" s="4"/>
      <c r="K9" s="4"/>
      <c r="L9" s="4"/>
      <c r="M9" s="4"/>
    </row>
    <row r="10" spans="1:98" ht="19.5" thickBot="1" x14ac:dyDescent="0.35">
      <c r="A10" s="4" t="s">
        <v>22</v>
      </c>
      <c r="B10" s="4">
        <v>0</v>
      </c>
      <c r="C10" s="4">
        <v>1</v>
      </c>
      <c r="D10" s="4">
        <v>0</v>
      </c>
      <c r="E10" s="4">
        <v>0</v>
      </c>
      <c r="F10" s="4">
        <v>0</v>
      </c>
      <c r="G10" s="4"/>
      <c r="H10" s="4"/>
      <c r="I10" s="4"/>
      <c r="J10" s="4"/>
      <c r="K10" s="4"/>
      <c r="L10" s="4"/>
      <c r="M10" s="4"/>
    </row>
    <row r="11" spans="1:98" ht="19.5" thickBot="1" x14ac:dyDescent="0.35">
      <c r="A11" s="4" t="s">
        <v>17</v>
      </c>
      <c r="B11" s="4">
        <v>0</v>
      </c>
      <c r="C11" s="4">
        <v>0</v>
      </c>
      <c r="D11" s="4">
        <v>1</v>
      </c>
      <c r="E11" s="4">
        <v>1</v>
      </c>
      <c r="F11" s="4">
        <v>1</v>
      </c>
      <c r="G11" s="4"/>
      <c r="H11" s="4"/>
      <c r="I11" s="4"/>
      <c r="J11" s="4"/>
      <c r="K11" s="4"/>
      <c r="L11" s="4"/>
      <c r="M11" s="4"/>
    </row>
    <row r="12" spans="1:98" ht="19.5" thickBot="1" x14ac:dyDescent="0.35">
      <c r="A12" s="4" t="s">
        <v>20</v>
      </c>
      <c r="B12" s="4">
        <v>0</v>
      </c>
      <c r="C12" s="4">
        <v>0</v>
      </c>
      <c r="D12" s="4">
        <v>1</v>
      </c>
      <c r="E12" s="4">
        <v>1</v>
      </c>
      <c r="F12" s="4">
        <v>0</v>
      </c>
      <c r="G12" s="4">
        <v>1</v>
      </c>
      <c r="H12" s="4"/>
      <c r="I12" s="4"/>
      <c r="J12" s="4"/>
      <c r="K12" s="4"/>
      <c r="L12" s="4"/>
      <c r="M12" s="4"/>
    </row>
    <row r="13" spans="1:98" ht="19.5" thickBot="1" x14ac:dyDescent="0.35">
      <c r="A13" s="4" t="s">
        <v>7</v>
      </c>
      <c r="B13" s="4">
        <v>0</v>
      </c>
      <c r="C13" s="4">
        <v>0</v>
      </c>
      <c r="D13" s="4">
        <v>1</v>
      </c>
      <c r="E13" s="4">
        <v>1</v>
      </c>
      <c r="F13" s="4">
        <v>0</v>
      </c>
      <c r="G13" s="4">
        <v>0</v>
      </c>
      <c r="H13" s="4"/>
      <c r="I13" s="4"/>
      <c r="J13" s="4"/>
      <c r="K13" s="4"/>
      <c r="L13" s="4"/>
      <c r="M13" s="4"/>
    </row>
    <row r="14" spans="1:98" ht="19.5" thickBot="1" x14ac:dyDescent="0.35">
      <c r="A14" s="4" t="s">
        <v>16</v>
      </c>
      <c r="B14" s="4">
        <v>0</v>
      </c>
      <c r="C14" s="4">
        <v>0</v>
      </c>
      <c r="D14" s="4">
        <v>1</v>
      </c>
      <c r="E14" s="4">
        <v>0</v>
      </c>
      <c r="F14" s="4">
        <v>1</v>
      </c>
      <c r="G14" s="4">
        <v>1</v>
      </c>
      <c r="H14" s="4"/>
      <c r="I14" s="4"/>
      <c r="J14" s="4"/>
      <c r="K14" s="4"/>
      <c r="L14" s="4"/>
      <c r="M14" s="4"/>
    </row>
    <row r="15" spans="1:98" ht="19.5" thickBot="1" x14ac:dyDescent="0.35">
      <c r="A15" s="4" t="s">
        <v>9</v>
      </c>
      <c r="B15" s="4">
        <v>0</v>
      </c>
      <c r="C15" s="4">
        <v>0</v>
      </c>
      <c r="D15" s="4">
        <v>1</v>
      </c>
      <c r="E15" s="4">
        <v>0</v>
      </c>
      <c r="F15" s="4">
        <v>1</v>
      </c>
      <c r="G15" s="4">
        <v>0</v>
      </c>
      <c r="H15" s="4"/>
      <c r="I15" s="4"/>
      <c r="J15" s="4"/>
      <c r="K15" s="4"/>
      <c r="L15" s="4"/>
      <c r="M15" s="4"/>
    </row>
    <row r="16" spans="1:98" ht="19.5" thickBot="1" x14ac:dyDescent="0.35">
      <c r="A16" s="4" t="s">
        <v>15</v>
      </c>
      <c r="B16" s="4">
        <v>0</v>
      </c>
      <c r="C16" s="4">
        <v>0</v>
      </c>
      <c r="D16" s="4">
        <v>1</v>
      </c>
      <c r="E16" s="4">
        <v>0</v>
      </c>
      <c r="F16" s="4">
        <v>0</v>
      </c>
      <c r="G16" s="4">
        <v>1</v>
      </c>
      <c r="H16" s="4"/>
      <c r="I16" s="4"/>
      <c r="J16" s="4"/>
      <c r="K16" s="4"/>
      <c r="L16" s="4"/>
      <c r="M16" s="4"/>
    </row>
    <row r="17" spans="1:13" ht="19.5" thickBot="1" x14ac:dyDescent="0.35">
      <c r="A17" s="4" t="s">
        <v>24</v>
      </c>
      <c r="B17" s="4">
        <v>0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4"/>
      <c r="I17" s="4"/>
      <c r="J17" s="4"/>
      <c r="K17" s="4"/>
      <c r="L17" s="4"/>
      <c r="M17" s="4"/>
    </row>
    <row r="18" spans="1:13" ht="19.5" thickBot="1" x14ac:dyDescent="0.35">
      <c r="A18" s="4" t="s">
        <v>32</v>
      </c>
      <c r="B18" s="4">
        <v>0</v>
      </c>
      <c r="C18" s="4">
        <v>0</v>
      </c>
      <c r="D18" s="4">
        <v>0</v>
      </c>
      <c r="E18" s="4">
        <v>1</v>
      </c>
      <c r="F18" s="4">
        <v>1</v>
      </c>
      <c r="G18" s="4">
        <v>1</v>
      </c>
      <c r="H18" s="4"/>
      <c r="I18" s="4"/>
      <c r="J18" s="4"/>
      <c r="K18" s="4"/>
      <c r="L18" s="4"/>
      <c r="M18" s="4"/>
    </row>
    <row r="19" spans="1:13" ht="19.5" thickBot="1" x14ac:dyDescent="0.35">
      <c r="A19" s="4" t="s">
        <v>36</v>
      </c>
      <c r="B19" s="4">
        <v>0</v>
      </c>
      <c r="C19" s="4">
        <v>0</v>
      </c>
      <c r="D19" s="4">
        <v>0</v>
      </c>
      <c r="E19" s="4">
        <v>1</v>
      </c>
      <c r="F19" s="4">
        <v>1</v>
      </c>
      <c r="G19" s="4">
        <v>0</v>
      </c>
      <c r="H19" s="4">
        <v>1</v>
      </c>
      <c r="I19" s="4"/>
      <c r="J19" s="4"/>
      <c r="K19" s="4"/>
      <c r="L19" s="4"/>
      <c r="M19" s="4"/>
    </row>
    <row r="20" spans="1:13" ht="19.5" thickBot="1" x14ac:dyDescent="0.35">
      <c r="A20" s="4" t="s">
        <v>12</v>
      </c>
      <c r="B20" s="4">
        <v>0</v>
      </c>
      <c r="C20" s="4">
        <v>0</v>
      </c>
      <c r="D20" s="4">
        <v>0</v>
      </c>
      <c r="E20" s="4">
        <v>1</v>
      </c>
      <c r="F20" s="4">
        <v>1</v>
      </c>
      <c r="G20" s="4">
        <v>0</v>
      </c>
      <c r="H20" s="4">
        <v>0</v>
      </c>
      <c r="I20" s="4"/>
      <c r="J20" s="4"/>
      <c r="K20" s="4"/>
      <c r="L20" s="4"/>
      <c r="M20" s="4"/>
    </row>
    <row r="21" spans="1:13" ht="19.5" thickBot="1" x14ac:dyDescent="0.35">
      <c r="A21" s="4" t="s">
        <v>38</v>
      </c>
      <c r="B21" s="4">
        <v>0</v>
      </c>
      <c r="C21" s="4">
        <v>0</v>
      </c>
      <c r="D21" s="4">
        <v>0</v>
      </c>
      <c r="E21" s="4">
        <v>1</v>
      </c>
      <c r="F21" s="4">
        <v>0</v>
      </c>
      <c r="G21" s="4">
        <v>1</v>
      </c>
      <c r="H21" s="4">
        <v>1</v>
      </c>
      <c r="I21" s="4"/>
      <c r="J21" s="4"/>
      <c r="K21" s="4"/>
      <c r="L21" s="4"/>
      <c r="M21" s="4"/>
    </row>
    <row r="22" spans="1:13" ht="19.5" thickBot="1" x14ac:dyDescent="0.35">
      <c r="A22" s="4" t="s">
        <v>37</v>
      </c>
      <c r="B22" s="4">
        <v>0</v>
      </c>
      <c r="C22" s="4">
        <v>0</v>
      </c>
      <c r="D22" s="4">
        <v>0</v>
      </c>
      <c r="E22" s="4">
        <v>1</v>
      </c>
      <c r="F22" s="4">
        <v>0</v>
      </c>
      <c r="G22" s="4">
        <v>1</v>
      </c>
      <c r="H22" s="4">
        <v>0</v>
      </c>
      <c r="I22" s="4"/>
      <c r="J22" s="4"/>
      <c r="K22" s="4"/>
      <c r="L22" s="4"/>
      <c r="M22" s="4"/>
    </row>
    <row r="23" spans="1:13" ht="19.5" thickBot="1" x14ac:dyDescent="0.35">
      <c r="A23" s="4" t="s">
        <v>33</v>
      </c>
      <c r="B23" s="4">
        <v>0</v>
      </c>
      <c r="C23" s="4">
        <v>0</v>
      </c>
      <c r="D23" s="4">
        <v>0</v>
      </c>
      <c r="E23" s="4">
        <v>1</v>
      </c>
      <c r="F23" s="4">
        <v>0</v>
      </c>
      <c r="G23" s="4">
        <v>0</v>
      </c>
      <c r="H23" s="4">
        <v>1</v>
      </c>
      <c r="I23" s="4"/>
      <c r="J23" s="4"/>
      <c r="K23" s="4"/>
      <c r="L23" s="4"/>
      <c r="M23" s="4"/>
    </row>
    <row r="24" spans="1:13" ht="19.5" thickBot="1" x14ac:dyDescent="0.35">
      <c r="A24" s="4" t="s">
        <v>8</v>
      </c>
      <c r="B24" s="4">
        <v>0</v>
      </c>
      <c r="C24" s="4">
        <v>0</v>
      </c>
      <c r="D24" s="4">
        <v>0</v>
      </c>
      <c r="E24" s="4">
        <v>1</v>
      </c>
      <c r="F24" s="4">
        <v>0</v>
      </c>
      <c r="G24" s="4">
        <v>0</v>
      </c>
      <c r="H24" s="4">
        <v>0</v>
      </c>
      <c r="I24" s="4"/>
      <c r="J24" s="4"/>
      <c r="K24" s="4"/>
      <c r="L24" s="4"/>
      <c r="M24" s="4"/>
    </row>
    <row r="25" spans="1:13" ht="19.5" thickBot="1" x14ac:dyDescent="0.35">
      <c r="A25" s="4" t="s">
        <v>14</v>
      </c>
      <c r="B25" s="4">
        <v>0</v>
      </c>
      <c r="C25" s="4">
        <v>0</v>
      </c>
      <c r="D25" s="4">
        <v>0</v>
      </c>
      <c r="E25" s="4">
        <v>0</v>
      </c>
      <c r="F25" s="4">
        <v>1</v>
      </c>
      <c r="G25" s="4">
        <v>1</v>
      </c>
      <c r="H25" s="4">
        <v>1</v>
      </c>
      <c r="I25" s="4"/>
      <c r="J25" s="4"/>
      <c r="K25" s="4"/>
      <c r="L25" s="4"/>
      <c r="M25" s="4"/>
    </row>
    <row r="26" spans="1:13" ht="19.5" thickBot="1" x14ac:dyDescent="0.35">
      <c r="A26" s="4" t="s">
        <v>6</v>
      </c>
      <c r="B26" s="4">
        <v>0</v>
      </c>
      <c r="C26" s="4">
        <v>0</v>
      </c>
      <c r="D26" s="4">
        <v>0</v>
      </c>
      <c r="E26" s="4">
        <v>0</v>
      </c>
      <c r="F26" s="4">
        <v>1</v>
      </c>
      <c r="G26" s="4">
        <v>1</v>
      </c>
      <c r="H26" s="4">
        <v>0</v>
      </c>
      <c r="I26" s="4">
        <v>1</v>
      </c>
      <c r="J26" s="4"/>
      <c r="K26" s="4"/>
      <c r="L26" s="4"/>
      <c r="M26" s="4"/>
    </row>
    <row r="27" spans="1:13" ht="19.5" thickBot="1" x14ac:dyDescent="0.35">
      <c r="A27" s="4" t="s">
        <v>27</v>
      </c>
      <c r="B27" s="4">
        <v>0</v>
      </c>
      <c r="C27" s="4">
        <v>0</v>
      </c>
      <c r="D27" s="4">
        <v>0</v>
      </c>
      <c r="E27" s="4">
        <v>0</v>
      </c>
      <c r="F27" s="4">
        <v>1</v>
      </c>
      <c r="G27" s="4">
        <v>1</v>
      </c>
      <c r="H27" s="4">
        <v>0</v>
      </c>
      <c r="I27" s="4">
        <v>0</v>
      </c>
      <c r="J27" s="4"/>
      <c r="K27" s="4"/>
      <c r="L27" s="4"/>
      <c r="M27" s="4"/>
    </row>
    <row r="28" spans="1:13" ht="19.5" thickBot="1" x14ac:dyDescent="0.35">
      <c r="A28" s="4" t="s">
        <v>28</v>
      </c>
      <c r="B28" s="4">
        <v>0</v>
      </c>
      <c r="C28" s="4">
        <v>0</v>
      </c>
      <c r="D28" s="4">
        <v>0</v>
      </c>
      <c r="E28" s="4">
        <v>0</v>
      </c>
      <c r="F28" s="4">
        <v>1</v>
      </c>
      <c r="G28" s="4">
        <v>0</v>
      </c>
      <c r="H28" s="4">
        <v>1</v>
      </c>
      <c r="I28" s="4"/>
      <c r="J28" s="4"/>
      <c r="K28" s="4"/>
      <c r="L28" s="4"/>
      <c r="M28" s="4"/>
    </row>
    <row r="29" spans="1:13" ht="19.5" thickBot="1" x14ac:dyDescent="0.35">
      <c r="A29" s="4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/>
      <c r="K29" s="4"/>
      <c r="L29" s="4"/>
      <c r="M29" s="4"/>
    </row>
    <row r="30" spans="1:13" ht="19.5" thickBot="1" x14ac:dyDescent="0.35">
      <c r="A30" s="4" t="s">
        <v>11</v>
      </c>
      <c r="B30" s="4">
        <v>0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  <c r="I30" s="4">
        <v>0</v>
      </c>
      <c r="J30" s="4"/>
      <c r="K30" s="4"/>
      <c r="L30" s="4"/>
      <c r="M30" s="4"/>
    </row>
    <row r="31" spans="1:13" ht="19.5" thickBot="1" x14ac:dyDescent="0.35">
      <c r="A31" s="4" t="s">
        <v>25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1</v>
      </c>
      <c r="I31" s="4">
        <v>1</v>
      </c>
      <c r="J31" s="4"/>
      <c r="K31" s="4"/>
      <c r="L31" s="4"/>
      <c r="M31" s="4"/>
    </row>
    <row r="32" spans="1:13" ht="19.5" thickBot="1" x14ac:dyDescent="0.35">
      <c r="A32" s="4" t="s">
        <v>26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1</v>
      </c>
      <c r="I32" s="4">
        <v>0</v>
      </c>
      <c r="J32" s="4"/>
      <c r="K32" s="4"/>
      <c r="L32" s="4"/>
      <c r="M32" s="4"/>
    </row>
    <row r="33" spans="1:14" ht="19.5" thickBot="1" x14ac:dyDescent="0.35">
      <c r="A33" s="4" t="s">
        <v>30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1</v>
      </c>
      <c r="J33" s="4"/>
      <c r="K33" s="4"/>
      <c r="L33" s="4"/>
      <c r="M33" s="4"/>
    </row>
    <row r="34" spans="1:14" ht="19.5" thickBot="1" x14ac:dyDescent="0.35">
      <c r="A34" s="4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1</v>
      </c>
      <c r="K34" s="4"/>
      <c r="L34" s="4"/>
      <c r="M34" s="4"/>
    </row>
    <row r="35" spans="1:14" ht="19.5" thickBot="1" x14ac:dyDescent="0.35">
      <c r="A35" s="4">
        <v>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/>
      <c r="L35" s="4"/>
      <c r="M35" s="4"/>
    </row>
    <row r="36" spans="1:14" ht="19.5" thickBot="1" x14ac:dyDescent="0.35">
      <c r="A36" s="4" t="s">
        <v>39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1</v>
      </c>
      <c r="I36" s="4">
        <v>1</v>
      </c>
      <c r="J36" s="4">
        <v>1</v>
      </c>
      <c r="K36" s="4"/>
      <c r="L36" s="4"/>
      <c r="M36" s="4"/>
    </row>
    <row r="37" spans="1:14" ht="19.5" thickBot="1" x14ac:dyDescent="0.35">
      <c r="A37" s="4" t="s">
        <v>34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1</v>
      </c>
      <c r="I37" s="4">
        <v>1</v>
      </c>
      <c r="J37" s="4">
        <v>0</v>
      </c>
      <c r="K37" s="4"/>
      <c r="L37" s="4"/>
      <c r="M37" s="4"/>
    </row>
    <row r="38" spans="1:14" ht="19.5" thickBot="1" x14ac:dyDescent="0.35">
      <c r="A38" s="4" t="s">
        <v>42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0</v>
      </c>
      <c r="J38" s="4">
        <v>1</v>
      </c>
      <c r="K38" s="4"/>
      <c r="L38" s="4"/>
      <c r="M38" s="4"/>
    </row>
    <row r="39" spans="1:14" ht="19.5" thickBot="1" x14ac:dyDescent="0.35">
      <c r="A39" s="4">
        <v>0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0</v>
      </c>
      <c r="J39" s="4">
        <v>0</v>
      </c>
      <c r="K39" s="4"/>
      <c r="L39" s="4"/>
      <c r="M39" s="4"/>
    </row>
    <row r="40" spans="1:14" ht="19.5" thickBot="1" x14ac:dyDescent="0.35">
      <c r="A40" s="4">
        <v>2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</v>
      </c>
      <c r="J40" s="4">
        <v>1</v>
      </c>
      <c r="K40" s="4">
        <v>1</v>
      </c>
      <c r="L40" s="4"/>
      <c r="M40" s="4"/>
    </row>
    <row r="41" spans="1:14" ht="19.5" thickBot="1" x14ac:dyDescent="0.35">
      <c r="A41" s="4" t="s">
        <v>29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1</v>
      </c>
      <c r="J41" s="4">
        <v>1</v>
      </c>
      <c r="K41" s="4">
        <v>0</v>
      </c>
      <c r="L41" s="4"/>
      <c r="M41" s="4"/>
    </row>
    <row r="42" spans="1:14" ht="19.5" thickBot="1" x14ac:dyDescent="0.35">
      <c r="A42" s="4">
        <v>7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0</v>
      </c>
      <c r="K42" s="4">
        <v>1</v>
      </c>
      <c r="L42" s="4"/>
      <c r="M42" s="4"/>
    </row>
    <row r="43" spans="1:14" ht="19.5" thickBot="1" x14ac:dyDescent="0.35">
      <c r="A43" s="4">
        <v>3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1</v>
      </c>
      <c r="J43" s="4">
        <v>0</v>
      </c>
      <c r="K43" s="4">
        <v>0</v>
      </c>
      <c r="L43" s="4"/>
      <c r="M43" s="4"/>
    </row>
    <row r="44" spans="1:14" ht="19.5" thickBot="1" x14ac:dyDescent="0.35">
      <c r="A44" s="4">
        <v>8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</v>
      </c>
      <c r="K44" s="4">
        <v>1</v>
      </c>
      <c r="L44" s="4"/>
      <c r="M44" s="4"/>
    </row>
    <row r="45" spans="1:14" ht="19.5" thickBot="1" x14ac:dyDescent="0.35">
      <c r="A45" s="4">
        <v>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4">
        <v>1</v>
      </c>
      <c r="M45" s="4"/>
    </row>
    <row r="46" spans="1:14" ht="19.5" thickBot="1" x14ac:dyDescent="0.35">
      <c r="A46" s="4">
        <v>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</v>
      </c>
      <c r="K46" s="4">
        <v>0</v>
      </c>
      <c r="L46" s="4">
        <v>0</v>
      </c>
      <c r="M46" s="4"/>
    </row>
    <row r="47" spans="1:14" ht="19.5" thickBot="1" x14ac:dyDescent="0.35">
      <c r="A47" s="4">
        <v>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</v>
      </c>
      <c r="L47" s="4">
        <v>1</v>
      </c>
      <c r="M47" s="4"/>
    </row>
    <row r="48" spans="1:14" ht="19.5" thickBot="1" x14ac:dyDescent="0.35">
      <c r="A48" s="4">
        <v>9</v>
      </c>
      <c r="B48" s="13">
        <v>0</v>
      </c>
      <c r="C48" s="13">
        <v>0</v>
      </c>
      <c r="D48" s="13">
        <v>0</v>
      </c>
      <c r="E48" s="13">
        <v>0</v>
      </c>
      <c r="F48" s="4">
        <v>0</v>
      </c>
      <c r="G48" s="4">
        <v>0</v>
      </c>
      <c r="H48" s="4">
        <v>0</v>
      </c>
      <c r="I48" s="4">
        <v>0</v>
      </c>
      <c r="J48" s="9">
        <v>0</v>
      </c>
      <c r="K48" s="9">
        <v>1</v>
      </c>
      <c r="L48" s="9">
        <v>0</v>
      </c>
      <c r="M48" s="4"/>
      <c r="N48" s="21"/>
    </row>
    <row r="49" spans="1:13" ht="19.5" thickBot="1" x14ac:dyDescent="0.35">
      <c r="A49" s="4" t="s">
        <v>31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</v>
      </c>
      <c r="M49" s="4"/>
    </row>
    <row r="50" spans="1:13" ht="19.5" thickBot="1" x14ac:dyDescent="0.35">
      <c r="A50" s="4" t="s">
        <v>43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1</v>
      </c>
    </row>
    <row r="51" spans="1:13" ht="19.5" thickBot="1" x14ac:dyDescent="0.35">
      <c r="A51" s="4" t="s">
        <v>44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</sheetData>
  <mergeCells count="20">
    <mergeCell ref="CP2:CT2"/>
    <mergeCell ref="O1:CT1"/>
    <mergeCell ref="O3:CT3"/>
    <mergeCell ref="BP2:BU2"/>
    <mergeCell ref="BV2:BW2"/>
    <mergeCell ref="BX2:CB2"/>
    <mergeCell ref="CC2:CG2"/>
    <mergeCell ref="CH2:CI2"/>
    <mergeCell ref="CJ2:CO2"/>
    <mergeCell ref="AK2:AQ2"/>
    <mergeCell ref="AR2:AS2"/>
    <mergeCell ref="AT2:AY2"/>
    <mergeCell ref="AZ2:BA2"/>
    <mergeCell ref="BB2:BK2"/>
    <mergeCell ref="BL2:BO2"/>
    <mergeCell ref="B1:M1"/>
    <mergeCell ref="O2:T2"/>
    <mergeCell ref="U2:V2"/>
    <mergeCell ref="W2:AD2"/>
    <mergeCell ref="AE2:A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49F1-EC4F-4642-ACEA-CF43F239269B}">
  <dimension ref="A1:CV69"/>
  <sheetViews>
    <sheetView tabSelected="1" topLeftCell="AF42" workbookViewId="0">
      <selection activeCell="CH2" sqref="CH2:CV69"/>
    </sheetView>
  </sheetViews>
  <sheetFormatPr defaultRowHeight="18.75" x14ac:dyDescent="0.25"/>
  <cols>
    <col min="1" max="84" width="2.7109375" style="8" bestFit="1" customWidth="1"/>
    <col min="85" max="85" width="9.140625" style="8"/>
    <col min="86" max="86" width="10" style="8" customWidth="1"/>
    <col min="87" max="98" width="2.7109375" style="8" bestFit="1" customWidth="1"/>
    <col min="99" max="99" width="36" style="8" bestFit="1" customWidth="1"/>
    <col min="100" max="100" width="25.5703125" style="8" bestFit="1" customWidth="1"/>
    <col min="101" max="16384" width="9.140625" style="8"/>
  </cols>
  <sheetData>
    <row r="1" spans="1:100" ht="19.5" thickBot="1" x14ac:dyDescent="0.3">
      <c r="A1" s="16" t="s">
        <v>9</v>
      </c>
      <c r="B1" s="16"/>
      <c r="C1" s="16"/>
      <c r="D1" s="16"/>
      <c r="E1" s="16"/>
      <c r="F1" s="16"/>
      <c r="G1" s="16" t="s">
        <v>19</v>
      </c>
      <c r="H1" s="16"/>
      <c r="I1" s="16" t="s">
        <v>11</v>
      </c>
      <c r="J1" s="16"/>
      <c r="K1" s="16"/>
      <c r="L1" s="16"/>
      <c r="M1" s="16"/>
      <c r="N1" s="16"/>
      <c r="O1" s="16"/>
      <c r="P1" s="16"/>
      <c r="Q1" s="16" t="s">
        <v>9</v>
      </c>
      <c r="R1" s="16"/>
      <c r="S1" s="16"/>
      <c r="T1" s="16"/>
      <c r="U1" s="16"/>
      <c r="V1" s="16"/>
      <c r="W1" s="16" t="s">
        <v>33</v>
      </c>
      <c r="X1" s="16"/>
      <c r="Y1" s="16"/>
      <c r="Z1" s="16"/>
      <c r="AA1" s="16"/>
      <c r="AB1" s="16"/>
      <c r="AC1" s="16"/>
      <c r="AD1" s="16"/>
      <c r="AE1" s="16"/>
      <c r="AF1" s="16" t="s">
        <v>20</v>
      </c>
      <c r="AG1" s="16"/>
      <c r="AH1" s="16"/>
      <c r="AI1" s="16"/>
      <c r="AJ1" s="16"/>
      <c r="AK1" s="16"/>
      <c r="AL1" s="16" t="s">
        <v>19</v>
      </c>
      <c r="AM1" s="16"/>
      <c r="AN1" s="16" t="s">
        <v>29</v>
      </c>
      <c r="AO1" s="16"/>
      <c r="AP1" s="16"/>
      <c r="AQ1" s="16"/>
      <c r="AR1" s="16"/>
      <c r="AS1" s="16"/>
      <c r="AT1" s="16"/>
      <c r="AU1" s="16"/>
      <c r="AV1" s="16"/>
      <c r="AW1" s="16"/>
      <c r="AX1" s="16" t="s">
        <v>10</v>
      </c>
      <c r="AY1" s="16"/>
      <c r="AZ1" s="16"/>
      <c r="BA1" s="16"/>
      <c r="BB1" s="16" t="s">
        <v>16</v>
      </c>
      <c r="BC1" s="16"/>
      <c r="BD1" s="16"/>
      <c r="BE1" s="16"/>
      <c r="BF1" s="16"/>
      <c r="BG1" s="16"/>
      <c r="BH1" s="16"/>
      <c r="BI1" s="16"/>
      <c r="BJ1" s="16" t="s">
        <v>22</v>
      </c>
      <c r="BK1" s="16"/>
      <c r="BL1" s="16"/>
      <c r="BM1" s="16"/>
      <c r="BN1" s="16"/>
      <c r="BO1" s="16" t="s">
        <v>18</v>
      </c>
      <c r="BP1" s="16"/>
      <c r="BQ1" s="16"/>
      <c r="BR1" s="16"/>
      <c r="BS1" s="16"/>
      <c r="BT1" s="16" t="s">
        <v>19</v>
      </c>
      <c r="BU1" s="16"/>
      <c r="BV1" s="16" t="s">
        <v>7</v>
      </c>
      <c r="BW1" s="16"/>
      <c r="BX1" s="16"/>
      <c r="BY1" s="16"/>
      <c r="BZ1" s="16"/>
      <c r="CA1" s="16"/>
      <c r="CB1" s="16" t="s">
        <v>5</v>
      </c>
      <c r="CC1" s="16"/>
      <c r="CD1" s="16"/>
      <c r="CE1" s="16"/>
      <c r="CF1" s="16"/>
    </row>
    <row r="2" spans="1:100" ht="19.5" thickBot="1" x14ac:dyDescent="0.3">
      <c r="A2" s="26" t="s">
        <v>61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H2" s="4" t="s">
        <v>62</v>
      </c>
      <c r="CI2" s="16" t="s">
        <v>63</v>
      </c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4" t="s">
        <v>64</v>
      </c>
      <c r="CV2" s="4" t="s">
        <v>65</v>
      </c>
    </row>
    <row r="3" spans="1:100" ht="19.5" thickBot="1" x14ac:dyDescent="0.3">
      <c r="A3" s="4">
        <v>0</v>
      </c>
      <c r="B3" s="4">
        <v>0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1</v>
      </c>
      <c r="AD3" s="4">
        <v>1</v>
      </c>
      <c r="AE3" s="4">
        <v>1</v>
      </c>
      <c r="AF3" s="4">
        <v>0</v>
      </c>
      <c r="AG3" s="4">
        <v>0</v>
      </c>
      <c r="AH3" s="4">
        <v>1</v>
      </c>
      <c r="AI3" s="4">
        <v>1</v>
      </c>
      <c r="AJ3" s="4">
        <v>0</v>
      </c>
      <c r="AK3" s="4">
        <v>1</v>
      </c>
      <c r="AL3" s="4">
        <v>1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1</v>
      </c>
      <c r="AV3" s="4">
        <v>1</v>
      </c>
      <c r="AW3" s="4">
        <v>0</v>
      </c>
      <c r="AX3" s="4">
        <v>0</v>
      </c>
      <c r="AY3" s="4">
        <v>1</v>
      </c>
      <c r="AZ3" s="4">
        <v>1</v>
      </c>
      <c r="BA3" s="4">
        <v>1</v>
      </c>
      <c r="BB3" s="4">
        <v>0</v>
      </c>
      <c r="BC3" s="4">
        <v>0</v>
      </c>
      <c r="BD3" s="4">
        <v>1</v>
      </c>
      <c r="BE3" s="4">
        <v>0</v>
      </c>
      <c r="BF3" s="4">
        <v>1</v>
      </c>
      <c r="BG3" s="4">
        <v>1</v>
      </c>
      <c r="BH3" s="4">
        <v>1</v>
      </c>
      <c r="BI3" s="4">
        <v>1</v>
      </c>
      <c r="BJ3" s="4">
        <v>0</v>
      </c>
      <c r="BK3" s="4">
        <v>1</v>
      </c>
      <c r="BL3" s="4">
        <v>0</v>
      </c>
      <c r="BM3" s="4">
        <v>0</v>
      </c>
      <c r="BN3" s="4">
        <v>0</v>
      </c>
      <c r="BO3" s="4">
        <v>0</v>
      </c>
      <c r="BP3" s="4">
        <v>1</v>
      </c>
      <c r="BQ3" s="4">
        <v>0</v>
      </c>
      <c r="BR3" s="4">
        <v>0</v>
      </c>
      <c r="BS3" s="4">
        <v>1</v>
      </c>
      <c r="BT3" s="4">
        <v>1</v>
      </c>
      <c r="BU3" s="4">
        <v>0</v>
      </c>
      <c r="BV3" s="4">
        <v>0</v>
      </c>
      <c r="BW3" s="4">
        <v>0</v>
      </c>
      <c r="BX3" s="4">
        <v>1</v>
      </c>
      <c r="BY3" s="4">
        <v>1</v>
      </c>
      <c r="BZ3" s="4">
        <v>0</v>
      </c>
      <c r="CA3" s="4">
        <v>0</v>
      </c>
      <c r="CB3" s="4">
        <v>0</v>
      </c>
      <c r="CC3" s="4">
        <v>1</v>
      </c>
      <c r="CD3" s="4">
        <v>1</v>
      </c>
      <c r="CE3" s="4">
        <v>0</v>
      </c>
      <c r="CF3" s="4">
        <v>0</v>
      </c>
      <c r="CH3" s="4">
        <v>1</v>
      </c>
      <c r="CI3" s="4">
        <v>0</v>
      </c>
      <c r="CJ3" s="4">
        <v>0</v>
      </c>
      <c r="CK3" s="4"/>
      <c r="CL3" s="4"/>
      <c r="CM3" s="4"/>
      <c r="CN3" s="4"/>
      <c r="CO3" s="4"/>
      <c r="CP3" s="4"/>
      <c r="CQ3" s="4"/>
      <c r="CR3" s="4"/>
      <c r="CS3" s="4"/>
      <c r="CT3" s="4"/>
      <c r="CU3" s="4">
        <v>41</v>
      </c>
      <c r="CV3" s="4"/>
    </row>
    <row r="4" spans="1:100" ht="19.5" thickBot="1" x14ac:dyDescent="0.3">
      <c r="CH4" s="4">
        <v>2</v>
      </c>
      <c r="CI4" s="4">
        <v>0</v>
      </c>
      <c r="CJ4" s="4">
        <v>0</v>
      </c>
      <c r="CK4" s="4">
        <v>1</v>
      </c>
      <c r="CL4" s="4"/>
      <c r="CM4" s="4"/>
      <c r="CN4" s="4"/>
      <c r="CO4" s="4"/>
      <c r="CP4" s="4"/>
      <c r="CQ4" s="4"/>
      <c r="CR4" s="4"/>
      <c r="CS4" s="4"/>
      <c r="CT4" s="4"/>
      <c r="CU4" s="4">
        <v>7</v>
      </c>
      <c r="CV4" s="4"/>
    </row>
    <row r="5" spans="1:100" ht="19.5" thickBot="1" x14ac:dyDescent="0.3">
      <c r="AF5" s="4">
        <v>0</v>
      </c>
      <c r="AG5" s="4">
        <v>1</v>
      </c>
      <c r="CH5" s="4">
        <v>3</v>
      </c>
      <c r="CI5" s="4">
        <v>0</v>
      </c>
      <c r="CJ5" s="4">
        <v>0</v>
      </c>
      <c r="CK5" s="4">
        <v>1</v>
      </c>
      <c r="CL5" s="4">
        <v>0</v>
      </c>
      <c r="CM5" s="4"/>
      <c r="CN5" s="4"/>
      <c r="CO5" s="4"/>
      <c r="CP5" s="4"/>
      <c r="CQ5" s="4"/>
      <c r="CR5" s="4"/>
      <c r="CS5" s="4"/>
      <c r="CT5" s="4"/>
      <c r="CU5" s="4">
        <v>4</v>
      </c>
      <c r="CV5" s="4"/>
    </row>
    <row r="6" spans="1:100" ht="19.5" thickBot="1" x14ac:dyDescent="0.3">
      <c r="AF6" s="4">
        <v>0</v>
      </c>
      <c r="AG6" s="4">
        <v>1</v>
      </c>
      <c r="AH6" s="4">
        <v>0</v>
      </c>
      <c r="CH6" s="4">
        <v>4</v>
      </c>
      <c r="CI6" s="4">
        <v>0</v>
      </c>
      <c r="CJ6" s="4">
        <v>0</v>
      </c>
      <c r="CK6" s="4">
        <v>1</v>
      </c>
      <c r="CL6" s="4">
        <v>0</v>
      </c>
      <c r="CM6" s="4">
        <v>1</v>
      </c>
      <c r="CN6" s="4"/>
      <c r="CO6" s="4"/>
      <c r="CP6" s="4"/>
      <c r="CQ6" s="4"/>
      <c r="CR6" s="4"/>
      <c r="CS6" s="4"/>
      <c r="CT6" s="4"/>
      <c r="CU6" s="4">
        <v>2</v>
      </c>
      <c r="CV6" s="4"/>
    </row>
    <row r="7" spans="1:100" ht="19.5" thickBot="1" x14ac:dyDescent="0.3">
      <c r="AF7" s="4">
        <v>0</v>
      </c>
      <c r="AG7" s="4">
        <v>1</v>
      </c>
      <c r="AH7" s="4">
        <v>0</v>
      </c>
      <c r="AI7" s="4">
        <v>0</v>
      </c>
      <c r="CH7" s="4">
        <v>5</v>
      </c>
      <c r="CI7" s="4">
        <v>0</v>
      </c>
      <c r="CJ7" s="4">
        <v>0</v>
      </c>
      <c r="CK7" s="4">
        <v>1</v>
      </c>
      <c r="CL7" s="4">
        <v>0</v>
      </c>
      <c r="CM7" s="4">
        <v>1</v>
      </c>
      <c r="CN7" s="4">
        <v>0</v>
      </c>
      <c r="CO7" s="4"/>
      <c r="CP7" s="4"/>
      <c r="CQ7" s="4"/>
      <c r="CR7" s="4"/>
      <c r="CS7" s="4"/>
      <c r="CT7" s="4"/>
      <c r="CU7" s="4">
        <v>1</v>
      </c>
      <c r="CV7" s="4" t="s">
        <v>9</v>
      </c>
    </row>
    <row r="8" spans="1:100" ht="19.5" thickBot="1" x14ac:dyDescent="0.3">
      <c r="AF8" s="4">
        <v>0</v>
      </c>
      <c r="AG8" s="4">
        <v>1</v>
      </c>
      <c r="AH8" s="4">
        <v>0</v>
      </c>
      <c r="AI8" s="4">
        <v>0</v>
      </c>
      <c r="AJ8" s="4">
        <v>0</v>
      </c>
      <c r="AO8" s="8" t="s">
        <v>22</v>
      </c>
      <c r="CH8" s="4">
        <v>6</v>
      </c>
      <c r="CI8" s="4">
        <v>1</v>
      </c>
      <c r="CJ8" s="4">
        <v>0</v>
      </c>
      <c r="CK8" s="4"/>
      <c r="CL8" s="4"/>
      <c r="CM8" s="4"/>
      <c r="CN8" s="4"/>
      <c r="CO8" s="4"/>
      <c r="CP8" s="4"/>
      <c r="CQ8" s="4"/>
      <c r="CR8" s="4"/>
      <c r="CS8" s="4"/>
      <c r="CT8" s="4"/>
      <c r="CU8" s="4">
        <v>1</v>
      </c>
      <c r="CV8" s="4" t="s">
        <v>19</v>
      </c>
    </row>
    <row r="9" spans="1:100" ht="19.5" thickBot="1" x14ac:dyDescent="0.3">
      <c r="AF9" s="4">
        <v>0</v>
      </c>
      <c r="AG9" s="4">
        <v>1</v>
      </c>
      <c r="AH9" s="27"/>
      <c r="AI9" s="27"/>
      <c r="AJ9" s="27"/>
      <c r="AK9" s="27"/>
      <c r="AL9" s="27"/>
      <c r="AM9" s="27"/>
      <c r="AN9" s="27"/>
      <c r="AO9" s="27"/>
      <c r="CH9" s="4">
        <v>7</v>
      </c>
      <c r="CI9" s="4">
        <v>0</v>
      </c>
      <c r="CJ9" s="4">
        <v>0</v>
      </c>
      <c r="CK9" s="4"/>
      <c r="CL9" s="4"/>
      <c r="CM9" s="4"/>
      <c r="CN9" s="4"/>
      <c r="CO9" s="4"/>
      <c r="CP9" s="4"/>
      <c r="CQ9" s="4"/>
      <c r="CR9" s="4"/>
      <c r="CS9" s="4"/>
      <c r="CT9" s="4"/>
      <c r="CU9" s="4">
        <v>41</v>
      </c>
      <c r="CV9" s="4"/>
    </row>
    <row r="10" spans="1:100" ht="19.5" thickBot="1" x14ac:dyDescent="0.3">
      <c r="AF10" s="4">
        <v>0</v>
      </c>
      <c r="AG10" s="4">
        <v>1</v>
      </c>
      <c r="AH10" s="4">
        <v>0</v>
      </c>
      <c r="AI10" s="27"/>
      <c r="AJ10" s="27"/>
      <c r="AK10" s="27"/>
      <c r="AL10" s="27"/>
      <c r="AM10" s="27"/>
      <c r="AN10" s="27"/>
      <c r="AO10" s="27"/>
      <c r="CH10" s="4">
        <v>8</v>
      </c>
      <c r="CI10" s="4">
        <v>0</v>
      </c>
      <c r="CJ10" s="4">
        <v>0</v>
      </c>
      <c r="CK10" s="4">
        <v>0</v>
      </c>
      <c r="CL10" s="4"/>
      <c r="CM10" s="4"/>
      <c r="CN10" s="4"/>
      <c r="CO10" s="4"/>
      <c r="CP10" s="4"/>
      <c r="CQ10" s="4"/>
      <c r="CR10" s="4"/>
      <c r="CS10" s="4"/>
      <c r="CT10" s="4"/>
      <c r="CU10" s="4">
        <v>34</v>
      </c>
      <c r="CV10" s="4"/>
    </row>
    <row r="11" spans="1:100" ht="19.5" thickBot="1" x14ac:dyDescent="0.3">
      <c r="AF11" s="4">
        <v>0</v>
      </c>
      <c r="AG11" s="4">
        <v>1</v>
      </c>
      <c r="AH11" s="4">
        <v>0</v>
      </c>
      <c r="AI11" s="4">
        <v>0</v>
      </c>
      <c r="AJ11" s="27"/>
      <c r="AK11" s="27"/>
      <c r="AL11" s="27"/>
      <c r="AM11" s="27"/>
      <c r="AN11" s="27"/>
      <c r="AO11" s="27"/>
      <c r="CH11" s="4">
        <v>9</v>
      </c>
      <c r="CI11" s="4">
        <v>0</v>
      </c>
      <c r="CJ11" s="4">
        <v>0</v>
      </c>
      <c r="CK11" s="4">
        <v>0</v>
      </c>
      <c r="CL11" s="4">
        <v>0</v>
      </c>
      <c r="CM11" s="4"/>
      <c r="CN11" s="4"/>
      <c r="CO11" s="4"/>
      <c r="CP11" s="4"/>
      <c r="CQ11" s="4"/>
      <c r="CR11" s="4"/>
      <c r="CS11" s="4"/>
      <c r="CT11" s="4"/>
      <c r="CU11" s="4">
        <v>27</v>
      </c>
      <c r="CV11" s="4"/>
    </row>
    <row r="12" spans="1:100" ht="19.5" thickBot="1" x14ac:dyDescent="0.3">
      <c r="AF12" s="4">
        <v>0</v>
      </c>
      <c r="AG12" s="4">
        <v>1</v>
      </c>
      <c r="AH12" s="4">
        <v>0</v>
      </c>
      <c r="AI12" s="4">
        <v>0</v>
      </c>
      <c r="AJ12" s="4">
        <v>1</v>
      </c>
      <c r="AK12" s="27"/>
      <c r="AL12" s="27"/>
      <c r="AM12" s="27"/>
      <c r="AN12" s="27"/>
      <c r="AO12" s="27" t="s">
        <v>18</v>
      </c>
      <c r="CH12" s="4">
        <v>10</v>
      </c>
      <c r="CI12" s="4">
        <v>0</v>
      </c>
      <c r="CJ12" s="4">
        <v>0</v>
      </c>
      <c r="CK12" s="4">
        <v>0</v>
      </c>
      <c r="CL12" s="4">
        <v>0</v>
      </c>
      <c r="CM12" s="4">
        <v>1</v>
      </c>
      <c r="CN12" s="4"/>
      <c r="CO12" s="4"/>
      <c r="CP12" s="4"/>
      <c r="CQ12" s="4"/>
      <c r="CR12" s="4"/>
      <c r="CS12" s="4"/>
      <c r="CT12" s="4"/>
      <c r="CU12" s="4">
        <v>6</v>
      </c>
      <c r="CV12" s="4"/>
    </row>
    <row r="13" spans="1:100" ht="19.5" thickBot="1" x14ac:dyDescent="0.3">
      <c r="AF13" s="4">
        <v>1</v>
      </c>
      <c r="AG13" s="4">
        <v>0</v>
      </c>
      <c r="AH13" s="27"/>
      <c r="AI13" s="27"/>
      <c r="AJ13" s="27"/>
      <c r="AK13" s="27"/>
      <c r="AL13" s="27"/>
      <c r="AM13" s="27"/>
      <c r="AN13" s="27"/>
      <c r="AO13" s="27" t="s">
        <v>19</v>
      </c>
      <c r="CH13" s="4">
        <v>11</v>
      </c>
      <c r="CI13" s="4">
        <v>0</v>
      </c>
      <c r="CJ13" s="4">
        <v>0</v>
      </c>
      <c r="CK13" s="4">
        <v>0</v>
      </c>
      <c r="CL13" s="4">
        <v>0</v>
      </c>
      <c r="CM13" s="4">
        <v>1</v>
      </c>
      <c r="CN13" s="4">
        <v>0</v>
      </c>
      <c r="CO13" s="4"/>
      <c r="CP13" s="4"/>
      <c r="CQ13" s="4"/>
      <c r="CR13" s="4"/>
      <c r="CS13" s="4"/>
      <c r="CT13" s="4"/>
      <c r="CU13" s="4">
        <v>3</v>
      </c>
      <c r="CV13" s="4"/>
    </row>
    <row r="14" spans="1:100" ht="19.5" thickBot="1" x14ac:dyDescent="0.3">
      <c r="AF14" s="4">
        <v>0</v>
      </c>
      <c r="AG14" s="4">
        <v>0</v>
      </c>
      <c r="AH14" s="27"/>
      <c r="AI14" s="27"/>
      <c r="AJ14" s="27"/>
      <c r="AK14" s="27"/>
      <c r="AL14" s="27"/>
      <c r="AM14" s="27"/>
      <c r="AN14" s="27"/>
      <c r="AO14" s="27"/>
      <c r="CH14" s="4">
        <v>12</v>
      </c>
      <c r="CI14" s="4">
        <v>0</v>
      </c>
      <c r="CJ14" s="4">
        <v>0</v>
      </c>
      <c r="CK14" s="4">
        <v>0</v>
      </c>
      <c r="CL14" s="4">
        <v>0</v>
      </c>
      <c r="CM14" s="4">
        <v>1</v>
      </c>
      <c r="CN14" s="4">
        <v>0</v>
      </c>
      <c r="CO14" s="4">
        <v>0</v>
      </c>
      <c r="CP14" s="4"/>
      <c r="CQ14" s="4"/>
      <c r="CR14" s="4"/>
      <c r="CS14" s="4"/>
      <c r="CT14" s="4"/>
      <c r="CU14" s="4">
        <v>2</v>
      </c>
      <c r="CV14" s="4"/>
    </row>
    <row r="15" spans="1:100" ht="19.5" thickBot="1" x14ac:dyDescent="0.3">
      <c r="AF15" s="4">
        <v>0</v>
      </c>
      <c r="AG15" s="4">
        <v>0</v>
      </c>
      <c r="AH15" s="4">
        <v>1</v>
      </c>
      <c r="AI15" s="27"/>
      <c r="AJ15" s="27"/>
      <c r="AK15" s="27"/>
      <c r="AL15" s="27"/>
      <c r="AM15" s="27"/>
      <c r="AN15" s="27"/>
      <c r="AO15" s="27"/>
      <c r="CH15" s="4">
        <v>13</v>
      </c>
      <c r="CI15" s="4">
        <v>0</v>
      </c>
      <c r="CJ15" s="4">
        <v>0</v>
      </c>
      <c r="CK15" s="4">
        <v>0</v>
      </c>
      <c r="CL15" s="4">
        <v>0</v>
      </c>
      <c r="CM15" s="4">
        <v>1</v>
      </c>
      <c r="CN15" s="4">
        <v>0</v>
      </c>
      <c r="CO15" s="4">
        <v>0</v>
      </c>
      <c r="CP15" s="4">
        <v>0</v>
      </c>
      <c r="CQ15" s="4"/>
      <c r="CR15" s="4"/>
      <c r="CS15" s="4"/>
      <c r="CT15" s="4"/>
      <c r="CU15" s="4">
        <v>1</v>
      </c>
      <c r="CV15" s="4" t="s">
        <v>11</v>
      </c>
    </row>
    <row r="16" spans="1:100" ht="19.5" thickBot="1" x14ac:dyDescent="0.3">
      <c r="AF16" s="4">
        <v>0</v>
      </c>
      <c r="AG16" s="4">
        <v>0</v>
      </c>
      <c r="AH16" s="4">
        <v>1</v>
      </c>
      <c r="AI16" s="4">
        <v>1</v>
      </c>
      <c r="AJ16" s="27"/>
      <c r="AK16" s="27"/>
      <c r="AL16" s="27"/>
      <c r="AM16" s="27"/>
      <c r="AN16" s="27"/>
      <c r="AO16" s="27"/>
      <c r="CH16" s="4">
        <v>14</v>
      </c>
      <c r="CI16" s="4">
        <v>0</v>
      </c>
      <c r="CJ16" s="4">
        <v>0</v>
      </c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>
        <v>41</v>
      </c>
      <c r="CV16" s="4"/>
    </row>
    <row r="17" spans="32:100" ht="19.5" thickBot="1" x14ac:dyDescent="0.3">
      <c r="AF17" s="4">
        <v>0</v>
      </c>
      <c r="AG17" s="4">
        <v>0</v>
      </c>
      <c r="AH17" s="4">
        <v>1</v>
      </c>
      <c r="AI17" s="4">
        <v>1</v>
      </c>
      <c r="AJ17" s="4">
        <v>0</v>
      </c>
      <c r="AK17" s="27"/>
      <c r="AL17" s="27"/>
      <c r="AM17" s="27"/>
      <c r="AN17" s="27"/>
      <c r="AO17" s="27"/>
      <c r="CH17" s="4">
        <v>15</v>
      </c>
      <c r="CI17" s="4">
        <v>0</v>
      </c>
      <c r="CJ17" s="4">
        <v>0</v>
      </c>
      <c r="CK17" s="4">
        <v>1</v>
      </c>
      <c r="CL17" s="4"/>
      <c r="CM17" s="4"/>
      <c r="CN17" s="4"/>
      <c r="CO17" s="4"/>
      <c r="CP17" s="4"/>
      <c r="CQ17" s="4"/>
      <c r="CR17" s="4"/>
      <c r="CS17" s="4"/>
      <c r="CT17" s="4"/>
      <c r="CU17" s="4">
        <v>7</v>
      </c>
      <c r="CV17" s="4"/>
    </row>
    <row r="18" spans="32:100" ht="19.5" thickBot="1" x14ac:dyDescent="0.3">
      <c r="AF18" s="4">
        <v>0</v>
      </c>
      <c r="AG18" s="4">
        <v>0</v>
      </c>
      <c r="AH18" s="4">
        <v>1</v>
      </c>
      <c r="AI18" s="4">
        <v>1</v>
      </c>
      <c r="AJ18" s="4">
        <v>0</v>
      </c>
      <c r="AK18" s="4">
        <v>0</v>
      </c>
      <c r="AL18" s="27"/>
      <c r="AM18" s="27"/>
      <c r="AN18" s="27"/>
      <c r="AO18" s="27" t="s">
        <v>7</v>
      </c>
      <c r="CH18" s="4">
        <v>16</v>
      </c>
      <c r="CI18" s="4">
        <v>0</v>
      </c>
      <c r="CJ18" s="4">
        <v>0</v>
      </c>
      <c r="CK18" s="5">
        <v>1</v>
      </c>
      <c r="CL18" s="4">
        <v>0</v>
      </c>
      <c r="CM18" s="4"/>
      <c r="CN18" s="4"/>
      <c r="CO18" s="4"/>
      <c r="CP18" s="4"/>
      <c r="CQ18" s="4"/>
      <c r="CR18" s="4"/>
      <c r="CS18" s="4"/>
      <c r="CT18" s="4"/>
      <c r="CU18" s="4">
        <v>4</v>
      </c>
      <c r="CV18" s="4"/>
    </row>
    <row r="19" spans="32:100" ht="19.5" thickBot="1" x14ac:dyDescent="0.3">
      <c r="AF19" s="4">
        <v>0</v>
      </c>
      <c r="AG19" s="4">
        <v>1</v>
      </c>
      <c r="AH19" s="27"/>
      <c r="AI19" s="27"/>
      <c r="AJ19" s="27"/>
      <c r="AK19" s="27"/>
      <c r="AL19" s="27"/>
      <c r="AM19" s="27"/>
      <c r="AN19" s="27"/>
      <c r="AO19" s="27"/>
      <c r="CH19" s="4">
        <v>17</v>
      </c>
      <c r="CI19" s="4">
        <v>0</v>
      </c>
      <c r="CJ19" s="4">
        <v>0</v>
      </c>
      <c r="CK19" s="5">
        <v>1</v>
      </c>
      <c r="CL19" s="4">
        <v>0</v>
      </c>
      <c r="CM19" s="4">
        <v>1</v>
      </c>
      <c r="CN19" s="4"/>
      <c r="CO19" s="4"/>
      <c r="CP19" s="4"/>
      <c r="CQ19" s="4"/>
      <c r="CR19" s="4"/>
      <c r="CS19" s="4"/>
      <c r="CT19" s="4"/>
      <c r="CU19" s="4">
        <v>2</v>
      </c>
      <c r="CV19" s="4"/>
    </row>
    <row r="20" spans="32:100" ht="19.5" thickBot="1" x14ac:dyDescent="0.3">
      <c r="AF20" s="4">
        <v>0</v>
      </c>
      <c r="AG20" s="4">
        <v>1</v>
      </c>
      <c r="AH20" s="4">
        <v>1</v>
      </c>
      <c r="AI20" s="27"/>
      <c r="AJ20" s="27"/>
      <c r="AK20" s="27"/>
      <c r="AL20" s="27"/>
      <c r="AM20" s="27"/>
      <c r="AN20" s="27"/>
      <c r="AO20" s="27"/>
      <c r="CH20" s="4">
        <v>18</v>
      </c>
      <c r="CI20" s="4">
        <v>0</v>
      </c>
      <c r="CJ20" s="4">
        <v>0</v>
      </c>
      <c r="CK20" s="5">
        <v>1</v>
      </c>
      <c r="CL20" s="4">
        <v>0</v>
      </c>
      <c r="CM20" s="4">
        <v>1</v>
      </c>
      <c r="CN20" s="4">
        <v>0</v>
      </c>
      <c r="CO20" s="4"/>
      <c r="CP20" s="4"/>
      <c r="CQ20" s="4"/>
      <c r="CR20" s="4"/>
      <c r="CS20" s="4"/>
      <c r="CT20" s="4"/>
      <c r="CU20" s="4">
        <v>1</v>
      </c>
      <c r="CV20" s="4" t="s">
        <v>9</v>
      </c>
    </row>
    <row r="21" spans="32:100" ht="19.5" thickBot="1" x14ac:dyDescent="0.3">
      <c r="AF21" s="4">
        <v>0</v>
      </c>
      <c r="AG21" s="4">
        <v>1</v>
      </c>
      <c r="AH21" s="4">
        <v>1</v>
      </c>
      <c r="AI21" s="4">
        <v>0</v>
      </c>
      <c r="AJ21" s="27"/>
      <c r="AK21" s="27"/>
      <c r="AL21" s="27"/>
      <c r="AM21" s="27"/>
      <c r="AN21" s="27"/>
      <c r="AO21" s="27"/>
      <c r="CH21" s="4">
        <v>19</v>
      </c>
      <c r="CI21" s="4">
        <v>0</v>
      </c>
      <c r="CJ21" s="4">
        <v>0</v>
      </c>
      <c r="CK21" s="5"/>
      <c r="CL21" s="4"/>
      <c r="CM21" s="4"/>
      <c r="CN21" s="4"/>
      <c r="CO21" s="4"/>
      <c r="CP21" s="4"/>
      <c r="CQ21" s="4"/>
      <c r="CR21" s="4"/>
      <c r="CS21" s="4"/>
      <c r="CT21" s="4"/>
      <c r="CU21" s="4">
        <v>41</v>
      </c>
      <c r="CV21" s="4"/>
    </row>
    <row r="22" spans="32:100" ht="19.5" thickBot="1" x14ac:dyDescent="0.3">
      <c r="AF22" s="4">
        <v>0</v>
      </c>
      <c r="AG22" s="4">
        <v>1</v>
      </c>
      <c r="AH22" s="4">
        <v>1</v>
      </c>
      <c r="AI22" s="4">
        <v>0</v>
      </c>
      <c r="AJ22" s="4">
        <v>0</v>
      </c>
      <c r="AK22" s="27"/>
      <c r="AL22" s="27"/>
      <c r="AM22" s="27"/>
      <c r="AN22" s="27"/>
      <c r="AO22" s="27" t="s">
        <v>5</v>
      </c>
      <c r="CH22" s="4">
        <v>20</v>
      </c>
      <c r="CI22" s="4">
        <v>0</v>
      </c>
      <c r="CJ22" s="4">
        <v>0</v>
      </c>
      <c r="CK22" s="5">
        <v>0</v>
      </c>
      <c r="CL22" s="4"/>
      <c r="CM22" s="4"/>
      <c r="CN22" s="4"/>
      <c r="CO22" s="4"/>
      <c r="CP22" s="4"/>
      <c r="CQ22" s="4"/>
      <c r="CR22" s="4"/>
      <c r="CS22" s="4"/>
      <c r="CT22" s="4"/>
      <c r="CU22" s="4">
        <v>34</v>
      </c>
      <c r="CV22" s="4"/>
    </row>
    <row r="23" spans="32:100" ht="19.5" thickBot="1" x14ac:dyDescent="0.3"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CH23" s="4">
        <v>21</v>
      </c>
      <c r="CI23" s="4">
        <v>0</v>
      </c>
      <c r="CJ23" s="4">
        <v>0</v>
      </c>
      <c r="CK23" s="5">
        <v>0</v>
      </c>
      <c r="CL23" s="4">
        <v>1</v>
      </c>
      <c r="CM23" s="4"/>
      <c r="CN23" s="4"/>
      <c r="CO23" s="4"/>
      <c r="CP23" s="4"/>
      <c r="CQ23" s="4"/>
      <c r="CR23" s="4"/>
      <c r="CS23" s="4"/>
      <c r="CT23" s="4"/>
      <c r="CU23" s="4">
        <v>7</v>
      </c>
      <c r="CV23" s="4"/>
    </row>
    <row r="24" spans="32:100" ht="19.5" thickBot="1" x14ac:dyDescent="0.3"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CH24" s="4">
        <v>22</v>
      </c>
      <c r="CI24" s="4">
        <v>0</v>
      </c>
      <c r="CJ24" s="4">
        <v>0</v>
      </c>
      <c r="CK24" s="5">
        <v>0</v>
      </c>
      <c r="CL24" s="4">
        <v>1</v>
      </c>
      <c r="CM24" s="4">
        <v>0</v>
      </c>
      <c r="CN24" s="4"/>
      <c r="CO24" s="4"/>
      <c r="CP24" s="4"/>
      <c r="CQ24" s="4"/>
      <c r="CR24" s="4"/>
      <c r="CS24" s="4"/>
      <c r="CT24" s="4"/>
      <c r="CU24" s="4">
        <v>4</v>
      </c>
      <c r="CV24" s="4" t="s">
        <v>66</v>
      </c>
    </row>
    <row r="25" spans="32:100" ht="19.5" thickBot="1" x14ac:dyDescent="0.3"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CH25" s="4">
        <v>23</v>
      </c>
      <c r="CI25" s="4">
        <v>0</v>
      </c>
      <c r="CJ25" s="4">
        <v>0</v>
      </c>
      <c r="CK25" s="5">
        <v>0</v>
      </c>
      <c r="CL25" s="4">
        <v>1</v>
      </c>
      <c r="CM25" s="4">
        <v>0</v>
      </c>
      <c r="CN25" s="4">
        <v>0</v>
      </c>
      <c r="CO25" s="4"/>
      <c r="CP25" s="4"/>
      <c r="CQ25" s="4"/>
      <c r="CR25" s="4"/>
      <c r="CS25" s="4"/>
      <c r="CT25" s="4"/>
      <c r="CU25" s="4">
        <v>2</v>
      </c>
      <c r="CV25" s="4"/>
    </row>
    <row r="26" spans="32:100" ht="19.5" thickBot="1" x14ac:dyDescent="0.3"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CH26" s="4">
        <v>24</v>
      </c>
      <c r="CI26" s="4">
        <v>0</v>
      </c>
      <c r="CJ26" s="4">
        <v>0</v>
      </c>
      <c r="CK26" s="5">
        <v>0</v>
      </c>
      <c r="CL26" s="4">
        <v>1</v>
      </c>
      <c r="CM26" s="4">
        <v>0</v>
      </c>
      <c r="CN26" s="4">
        <v>0</v>
      </c>
      <c r="CO26" s="4">
        <v>1</v>
      </c>
      <c r="CP26" s="4"/>
      <c r="CQ26" s="4"/>
      <c r="CR26" s="4"/>
      <c r="CS26" s="4"/>
      <c r="CT26" s="4"/>
      <c r="CU26" s="4">
        <v>1</v>
      </c>
      <c r="CV26" s="4" t="s">
        <v>33</v>
      </c>
    </row>
    <row r="27" spans="32:100" ht="19.5" thickBot="1" x14ac:dyDescent="0.3"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CH27" s="4">
        <v>25</v>
      </c>
      <c r="CI27" s="4">
        <v>1</v>
      </c>
      <c r="CJ27" s="4">
        <v>1</v>
      </c>
      <c r="CK27" s="5"/>
      <c r="CL27" s="4"/>
      <c r="CM27" s="4"/>
      <c r="CN27" s="4"/>
      <c r="CO27" s="4"/>
      <c r="CP27" s="4"/>
      <c r="CQ27" s="4"/>
      <c r="CR27" s="4"/>
      <c r="CS27" s="4"/>
      <c r="CT27" s="4"/>
      <c r="CU27" s="4">
        <v>1</v>
      </c>
      <c r="CV27" s="4" t="s">
        <v>59</v>
      </c>
    </row>
    <row r="28" spans="32:100" ht="19.5" thickBot="1" x14ac:dyDescent="0.3"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CH28" s="4">
        <v>26</v>
      </c>
      <c r="CI28" s="4">
        <v>0</v>
      </c>
      <c r="CJ28" s="4">
        <v>0</v>
      </c>
      <c r="CL28" s="4"/>
      <c r="CM28" s="4"/>
      <c r="CN28" s="4"/>
      <c r="CO28" s="4"/>
      <c r="CP28" s="4"/>
      <c r="CQ28" s="4"/>
      <c r="CR28" s="4"/>
      <c r="CS28" s="4"/>
      <c r="CT28" s="4"/>
      <c r="CU28" s="4">
        <v>41</v>
      </c>
      <c r="CV28" s="4"/>
    </row>
    <row r="29" spans="32:100" ht="19.5" thickBot="1" x14ac:dyDescent="0.3"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CH29" s="4">
        <v>27</v>
      </c>
      <c r="CI29" s="4">
        <v>0</v>
      </c>
      <c r="CJ29" s="4">
        <v>0</v>
      </c>
      <c r="CK29" s="5">
        <v>1</v>
      </c>
      <c r="CL29" s="4"/>
      <c r="CM29" s="4"/>
      <c r="CN29" s="4"/>
      <c r="CO29" s="4"/>
      <c r="CP29" s="4"/>
      <c r="CQ29" s="4"/>
      <c r="CR29" s="4"/>
      <c r="CS29" s="4"/>
      <c r="CT29" s="4"/>
      <c r="CU29" s="4">
        <v>7</v>
      </c>
      <c r="CV29" s="4"/>
    </row>
    <row r="30" spans="32:100" ht="19.5" thickBot="1" x14ac:dyDescent="0.3">
      <c r="CH30" s="4">
        <v>28</v>
      </c>
      <c r="CI30" s="4">
        <v>0</v>
      </c>
      <c r="CJ30" s="4">
        <v>0</v>
      </c>
      <c r="CK30" s="5">
        <v>1</v>
      </c>
      <c r="CL30" s="4">
        <v>1</v>
      </c>
      <c r="CM30" s="4"/>
      <c r="CN30" s="4"/>
      <c r="CO30" s="4"/>
      <c r="CP30" s="4"/>
      <c r="CQ30" s="4"/>
      <c r="CR30" s="4"/>
      <c r="CS30" s="4"/>
      <c r="CT30" s="4"/>
      <c r="CU30" s="4">
        <v>3</v>
      </c>
      <c r="CV30" s="4"/>
    </row>
    <row r="31" spans="32:100" ht="19.5" thickBot="1" x14ac:dyDescent="0.3">
      <c r="CH31" s="4">
        <v>29</v>
      </c>
      <c r="CI31" s="4">
        <v>0</v>
      </c>
      <c r="CJ31" s="4">
        <v>0</v>
      </c>
      <c r="CK31" s="5">
        <v>1</v>
      </c>
      <c r="CL31" s="4">
        <v>1</v>
      </c>
      <c r="CM31" s="4">
        <v>0</v>
      </c>
      <c r="CN31" s="4"/>
      <c r="CO31" s="4"/>
      <c r="CP31" s="4"/>
      <c r="CQ31" s="4"/>
      <c r="CR31" s="4"/>
      <c r="CS31" s="4"/>
      <c r="CT31" s="4"/>
      <c r="CU31" s="4">
        <v>2</v>
      </c>
      <c r="CV31" s="4"/>
    </row>
    <row r="32" spans="32:100" ht="19.5" thickBot="1" x14ac:dyDescent="0.3">
      <c r="CH32" s="4">
        <v>30</v>
      </c>
      <c r="CI32" s="4">
        <v>0</v>
      </c>
      <c r="CJ32" s="4">
        <v>0</v>
      </c>
      <c r="CK32" s="5">
        <v>1</v>
      </c>
      <c r="CL32" s="4">
        <v>1</v>
      </c>
      <c r="CM32" s="4">
        <v>0</v>
      </c>
      <c r="CN32" s="4">
        <v>1</v>
      </c>
      <c r="CO32" s="4"/>
      <c r="CP32" s="4"/>
      <c r="CQ32" s="4"/>
      <c r="CR32" s="4"/>
      <c r="CS32" s="4"/>
      <c r="CT32" s="4"/>
      <c r="CU32" s="4">
        <v>1</v>
      </c>
      <c r="CV32" s="4" t="s">
        <v>20</v>
      </c>
    </row>
    <row r="33" spans="86:100" ht="19.5" thickBot="1" x14ac:dyDescent="0.3">
      <c r="CH33" s="4">
        <v>31</v>
      </c>
      <c r="CI33" s="4">
        <v>1</v>
      </c>
      <c r="CJ33" s="4">
        <v>0</v>
      </c>
      <c r="CL33" s="4"/>
      <c r="CM33" s="4"/>
      <c r="CN33" s="4"/>
      <c r="CO33" s="4"/>
      <c r="CP33" s="4"/>
      <c r="CQ33" s="4"/>
      <c r="CR33" s="4"/>
      <c r="CS33" s="4"/>
      <c r="CT33" s="4"/>
      <c r="CU33" s="4">
        <v>1</v>
      </c>
      <c r="CV33" s="4" t="s">
        <v>19</v>
      </c>
    </row>
    <row r="34" spans="86:100" ht="19.5" thickBot="1" x14ac:dyDescent="0.3">
      <c r="CH34" s="4">
        <v>32</v>
      </c>
      <c r="CI34" s="4">
        <v>0</v>
      </c>
      <c r="CJ34" s="4">
        <v>0</v>
      </c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>
        <v>41</v>
      </c>
      <c r="CV34" s="4"/>
    </row>
    <row r="35" spans="86:100" ht="19.5" thickBot="1" x14ac:dyDescent="0.3">
      <c r="CH35" s="4">
        <v>33</v>
      </c>
      <c r="CI35" s="4">
        <v>0</v>
      </c>
      <c r="CJ35" s="4">
        <v>0</v>
      </c>
      <c r="CK35" s="5">
        <v>0</v>
      </c>
      <c r="CL35" s="4"/>
      <c r="CM35" s="4"/>
      <c r="CN35" s="4"/>
      <c r="CO35" s="4"/>
      <c r="CP35" s="4"/>
      <c r="CQ35" s="4"/>
      <c r="CR35" s="4"/>
      <c r="CS35" s="4"/>
      <c r="CT35" s="4"/>
      <c r="CU35" s="4">
        <v>34</v>
      </c>
      <c r="CV35" s="4"/>
    </row>
    <row r="36" spans="86:100" ht="19.5" thickBot="1" x14ac:dyDescent="0.3">
      <c r="CH36" s="4">
        <v>34</v>
      </c>
      <c r="CI36" s="4">
        <v>0</v>
      </c>
      <c r="CJ36" s="4">
        <v>0</v>
      </c>
      <c r="CK36" s="5">
        <v>0</v>
      </c>
      <c r="CL36" s="4">
        <v>0</v>
      </c>
      <c r="CM36" s="4"/>
      <c r="CN36" s="4"/>
      <c r="CO36" s="4"/>
      <c r="CP36" s="4"/>
      <c r="CQ36" s="4"/>
      <c r="CR36" s="4"/>
      <c r="CS36" s="4"/>
      <c r="CT36" s="4"/>
      <c r="CU36" s="4">
        <v>27</v>
      </c>
      <c r="CV36" s="4"/>
    </row>
    <row r="37" spans="86:100" ht="19.5" thickBot="1" x14ac:dyDescent="0.3">
      <c r="CH37" s="4">
        <v>35</v>
      </c>
      <c r="CI37" s="4">
        <v>0</v>
      </c>
      <c r="CJ37" s="4">
        <v>0</v>
      </c>
      <c r="CK37" s="5">
        <v>0</v>
      </c>
      <c r="CL37" s="4">
        <v>0</v>
      </c>
      <c r="CM37" s="4">
        <v>0</v>
      </c>
      <c r="CN37" s="4"/>
      <c r="CO37" s="4"/>
      <c r="CP37" s="4"/>
      <c r="CQ37" s="4"/>
      <c r="CR37" s="4"/>
      <c r="CS37" s="4"/>
      <c r="CT37" s="4"/>
      <c r="CU37" s="4">
        <v>21</v>
      </c>
      <c r="CV37" s="4"/>
    </row>
    <row r="38" spans="86:100" ht="19.5" thickBot="1" x14ac:dyDescent="0.3">
      <c r="CH38" s="4">
        <v>36</v>
      </c>
      <c r="CI38" s="4">
        <v>0</v>
      </c>
      <c r="CJ38" s="4">
        <v>0</v>
      </c>
      <c r="CK38" s="5">
        <v>0</v>
      </c>
      <c r="CL38" s="4">
        <v>0</v>
      </c>
      <c r="CM38" s="4">
        <v>0</v>
      </c>
      <c r="CN38" s="4">
        <v>0</v>
      </c>
      <c r="CO38" s="4"/>
      <c r="CP38" s="4"/>
      <c r="CQ38" s="4"/>
      <c r="CR38" s="4"/>
      <c r="CS38" s="4"/>
      <c r="CT38" s="4"/>
      <c r="CU38" s="4">
        <v>16</v>
      </c>
      <c r="CV38" s="4"/>
    </row>
    <row r="39" spans="86:100" ht="19.5" thickBot="1" x14ac:dyDescent="0.3">
      <c r="CH39" s="4">
        <v>37</v>
      </c>
      <c r="CI39" s="4">
        <v>0</v>
      </c>
      <c r="CJ39" s="4">
        <v>0</v>
      </c>
      <c r="CK39" s="5">
        <v>0</v>
      </c>
      <c r="CL39" s="4">
        <v>0</v>
      </c>
      <c r="CM39" s="4">
        <v>0</v>
      </c>
      <c r="CN39" s="4">
        <v>0</v>
      </c>
      <c r="CO39" s="4">
        <v>0</v>
      </c>
      <c r="CP39" s="4"/>
      <c r="CQ39" s="4"/>
      <c r="CR39" s="4"/>
      <c r="CS39" s="4"/>
      <c r="CT39" s="4"/>
      <c r="CU39" s="4">
        <v>12</v>
      </c>
      <c r="CV39" s="4"/>
    </row>
    <row r="40" spans="86:100" ht="19.5" thickBot="1" x14ac:dyDescent="0.3">
      <c r="CH40" s="4">
        <v>38</v>
      </c>
      <c r="CI40" s="4">
        <v>0</v>
      </c>
      <c r="CJ40" s="4">
        <v>0</v>
      </c>
      <c r="CK40" s="5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/>
      <c r="CR40" s="4"/>
      <c r="CS40" s="4"/>
      <c r="CT40" s="4"/>
      <c r="CU40" s="4">
        <v>4</v>
      </c>
      <c r="CV40" s="4"/>
    </row>
    <row r="41" spans="86:100" ht="19.5" thickBot="1" x14ac:dyDescent="0.3">
      <c r="CH41" s="4">
        <v>39</v>
      </c>
      <c r="CI41" s="4">
        <v>0</v>
      </c>
      <c r="CJ41" s="4">
        <v>0</v>
      </c>
      <c r="CK41" s="5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>
        <v>1</v>
      </c>
      <c r="CR41" s="4"/>
      <c r="CS41" s="4"/>
      <c r="CT41" s="4"/>
      <c r="CU41" s="4">
        <v>2</v>
      </c>
      <c r="CV41" s="4"/>
    </row>
    <row r="42" spans="86:100" ht="19.5" thickBot="1" x14ac:dyDescent="0.3">
      <c r="CH42" s="4">
        <v>40</v>
      </c>
      <c r="CI42" s="4">
        <v>0</v>
      </c>
      <c r="CJ42" s="4">
        <v>0</v>
      </c>
      <c r="CK42" s="5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>
        <v>1</v>
      </c>
      <c r="CR42" s="4">
        <v>0</v>
      </c>
      <c r="CS42" s="4"/>
      <c r="CT42" s="4"/>
      <c r="CU42" s="4">
        <v>1</v>
      </c>
      <c r="CV42" s="4" t="s">
        <v>29</v>
      </c>
    </row>
    <row r="43" spans="86:100" ht="19.5" thickBot="1" x14ac:dyDescent="0.3">
      <c r="CH43" s="4">
        <v>41</v>
      </c>
      <c r="CI43" s="4">
        <v>0</v>
      </c>
      <c r="CJ43" s="4">
        <v>1</v>
      </c>
      <c r="CL43" s="4"/>
      <c r="CM43" s="4"/>
      <c r="CN43" s="4"/>
      <c r="CO43" s="4"/>
      <c r="CP43" s="4"/>
      <c r="CQ43" s="4"/>
      <c r="CR43" s="4"/>
      <c r="CS43" s="4"/>
      <c r="CT43" s="4"/>
      <c r="CU43" s="4">
        <v>7</v>
      </c>
      <c r="CV43" s="4"/>
    </row>
    <row r="44" spans="86:100" ht="19.5" thickBot="1" x14ac:dyDescent="0.3">
      <c r="CH44" s="4">
        <v>42</v>
      </c>
      <c r="CI44" s="4">
        <v>0</v>
      </c>
      <c r="CJ44" s="4">
        <v>1</v>
      </c>
      <c r="CK44" s="5">
        <v>1</v>
      </c>
      <c r="CL44" s="4"/>
      <c r="CM44" s="4"/>
      <c r="CN44" s="4"/>
      <c r="CO44" s="4"/>
      <c r="CP44" s="4"/>
      <c r="CQ44" s="4"/>
      <c r="CR44" s="4"/>
      <c r="CS44" s="4"/>
      <c r="CT44" s="4"/>
      <c r="CU44" s="4">
        <v>3</v>
      </c>
      <c r="CV44" s="4"/>
    </row>
    <row r="45" spans="86:100" ht="19.5" thickBot="1" x14ac:dyDescent="0.3">
      <c r="CH45" s="4">
        <v>43</v>
      </c>
      <c r="CI45" s="4">
        <v>0</v>
      </c>
      <c r="CJ45" s="4">
        <v>1</v>
      </c>
      <c r="CK45" s="5">
        <v>1</v>
      </c>
      <c r="CL45" s="4">
        <v>1</v>
      </c>
      <c r="CM45" s="4"/>
      <c r="CN45" s="4"/>
      <c r="CO45" s="4"/>
      <c r="CP45" s="4"/>
      <c r="CQ45" s="4"/>
      <c r="CR45" s="4"/>
      <c r="CS45" s="4"/>
      <c r="CT45" s="4"/>
      <c r="CU45" s="4">
        <v>1</v>
      </c>
      <c r="CV45" s="4" t="s">
        <v>10</v>
      </c>
    </row>
    <row r="46" spans="86:100" ht="19.5" thickBot="1" x14ac:dyDescent="0.3">
      <c r="CH46" s="4">
        <v>44</v>
      </c>
      <c r="CI46" s="4">
        <v>0</v>
      </c>
      <c r="CJ46" s="4">
        <v>0</v>
      </c>
      <c r="CL46" s="4"/>
      <c r="CM46" s="4"/>
      <c r="CN46" s="4"/>
      <c r="CO46" s="4"/>
      <c r="CP46" s="4"/>
      <c r="CQ46" s="4"/>
      <c r="CR46" s="4"/>
      <c r="CS46" s="4"/>
      <c r="CT46" s="4"/>
      <c r="CU46" s="4">
        <v>41</v>
      </c>
      <c r="CV46" s="4"/>
    </row>
    <row r="47" spans="86:100" ht="19.5" thickBot="1" x14ac:dyDescent="0.3">
      <c r="CH47" s="4">
        <v>45</v>
      </c>
      <c r="CI47" s="4">
        <v>0</v>
      </c>
      <c r="CJ47" s="4">
        <v>0</v>
      </c>
      <c r="CK47" s="5">
        <v>1</v>
      </c>
      <c r="CL47" s="4"/>
      <c r="CM47" s="4"/>
      <c r="CN47" s="4"/>
      <c r="CO47" s="4"/>
      <c r="CP47" s="4"/>
      <c r="CQ47" s="4"/>
      <c r="CR47" s="4"/>
      <c r="CS47" s="4"/>
      <c r="CT47" s="4"/>
      <c r="CU47" s="4">
        <v>7</v>
      </c>
      <c r="CV47" s="4"/>
    </row>
    <row r="48" spans="86:100" ht="19.5" thickBot="1" x14ac:dyDescent="0.3">
      <c r="CH48" s="4">
        <v>46</v>
      </c>
      <c r="CI48" s="4">
        <v>0</v>
      </c>
      <c r="CJ48" s="4">
        <v>0</v>
      </c>
      <c r="CK48" s="5">
        <v>1</v>
      </c>
      <c r="CL48" s="4">
        <v>0</v>
      </c>
      <c r="CM48" s="4"/>
      <c r="CN48" s="4"/>
      <c r="CO48" s="4"/>
      <c r="CP48" s="4"/>
      <c r="CQ48" s="4"/>
      <c r="CR48" s="4"/>
      <c r="CS48" s="4"/>
      <c r="CT48" s="4"/>
      <c r="CU48" s="4">
        <v>4</v>
      </c>
      <c r="CV48" s="4"/>
    </row>
    <row r="49" spans="86:100" ht="19.5" thickBot="1" x14ac:dyDescent="0.3">
      <c r="CH49" s="4">
        <v>47</v>
      </c>
      <c r="CI49" s="4">
        <v>0</v>
      </c>
      <c r="CJ49" s="4">
        <v>0</v>
      </c>
      <c r="CK49" s="5">
        <v>1</v>
      </c>
      <c r="CL49" s="4">
        <v>0</v>
      </c>
      <c r="CM49" s="4">
        <v>1</v>
      </c>
      <c r="CN49" s="4"/>
      <c r="CO49" s="4"/>
      <c r="CP49" s="4"/>
      <c r="CQ49" s="4"/>
      <c r="CR49" s="4"/>
      <c r="CS49" s="4"/>
      <c r="CT49" s="4"/>
      <c r="CU49" s="4">
        <v>3</v>
      </c>
      <c r="CV49" s="4"/>
    </row>
    <row r="50" spans="86:100" ht="19.5" thickBot="1" x14ac:dyDescent="0.3">
      <c r="CH50" s="4">
        <v>48</v>
      </c>
      <c r="CI50" s="4">
        <v>0</v>
      </c>
      <c r="CJ50" s="4">
        <v>0</v>
      </c>
      <c r="CK50" s="5">
        <v>1</v>
      </c>
      <c r="CL50" s="4">
        <v>0</v>
      </c>
      <c r="CM50" s="4">
        <v>1</v>
      </c>
      <c r="CN50" s="4">
        <v>1</v>
      </c>
      <c r="CO50" s="4"/>
      <c r="CP50" s="4"/>
      <c r="CQ50" s="4"/>
      <c r="CR50" s="4"/>
      <c r="CS50" s="4"/>
      <c r="CT50" s="4"/>
      <c r="CU50" s="4">
        <v>1</v>
      </c>
      <c r="CV50" s="4" t="s">
        <v>16</v>
      </c>
    </row>
    <row r="51" spans="86:100" ht="19.5" thickBot="1" x14ac:dyDescent="0.3">
      <c r="CH51" s="4">
        <v>49</v>
      </c>
      <c r="CI51" s="4">
        <v>1</v>
      </c>
      <c r="CJ51" s="4">
        <v>1</v>
      </c>
      <c r="CL51" s="4"/>
      <c r="CM51" s="4"/>
      <c r="CN51" s="4"/>
      <c r="CO51" s="4"/>
      <c r="CP51" s="4"/>
      <c r="CQ51" s="4"/>
      <c r="CR51" s="4"/>
      <c r="CS51" s="4"/>
      <c r="CT51" s="4"/>
      <c r="CU51" s="4">
        <v>1</v>
      </c>
      <c r="CV51" s="4" t="s">
        <v>59</v>
      </c>
    </row>
    <row r="52" spans="86:100" ht="19.5" thickBot="1" x14ac:dyDescent="0.3">
      <c r="CH52" s="4">
        <v>50</v>
      </c>
      <c r="CI52" s="4">
        <v>0</v>
      </c>
      <c r="CJ52" s="4">
        <v>1</v>
      </c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>
        <v>7</v>
      </c>
      <c r="CV52" s="4"/>
    </row>
    <row r="53" spans="86:100" ht="19.5" thickBot="1" x14ac:dyDescent="0.3">
      <c r="CH53" s="4">
        <v>51</v>
      </c>
      <c r="CI53" s="4">
        <v>0</v>
      </c>
      <c r="CJ53" s="4">
        <v>1</v>
      </c>
      <c r="CK53" s="5">
        <v>0</v>
      </c>
      <c r="CL53" s="4"/>
      <c r="CM53" s="4"/>
      <c r="CN53" s="4"/>
      <c r="CO53" s="4"/>
      <c r="CP53" s="4"/>
      <c r="CQ53" s="4"/>
      <c r="CR53" s="4"/>
      <c r="CS53" s="4"/>
      <c r="CT53" s="4"/>
      <c r="CU53" s="4">
        <v>4</v>
      </c>
      <c r="CV53" s="4"/>
    </row>
    <row r="54" spans="86:100" ht="19.5" thickBot="1" x14ac:dyDescent="0.3">
      <c r="CH54" s="4">
        <v>52</v>
      </c>
      <c r="CI54" s="4">
        <v>0</v>
      </c>
      <c r="CJ54" s="4">
        <v>1</v>
      </c>
      <c r="CK54" s="5">
        <v>0</v>
      </c>
      <c r="CL54" s="4">
        <v>0</v>
      </c>
      <c r="CM54" s="4"/>
      <c r="CN54" s="4"/>
      <c r="CO54" s="4"/>
      <c r="CP54" s="4"/>
      <c r="CQ54" s="4"/>
      <c r="CR54" s="4"/>
      <c r="CS54" s="4"/>
      <c r="CT54" s="4"/>
      <c r="CU54" s="4">
        <v>2</v>
      </c>
      <c r="CV54" s="4"/>
    </row>
    <row r="55" spans="86:100" ht="19.5" thickBot="1" x14ac:dyDescent="0.3">
      <c r="CH55" s="4">
        <v>53</v>
      </c>
      <c r="CI55" s="4">
        <v>0</v>
      </c>
      <c r="CJ55" s="4">
        <v>1</v>
      </c>
      <c r="CK55" s="5">
        <v>0</v>
      </c>
      <c r="CL55" s="4">
        <v>0</v>
      </c>
      <c r="CM55" s="4">
        <v>0</v>
      </c>
      <c r="CN55" s="4"/>
      <c r="CO55" s="4"/>
      <c r="CP55" s="4"/>
      <c r="CQ55" s="4"/>
      <c r="CR55" s="4"/>
      <c r="CS55" s="4"/>
      <c r="CT55" s="4"/>
      <c r="CU55" s="4">
        <v>1</v>
      </c>
      <c r="CV55" s="4" t="s">
        <v>22</v>
      </c>
    </row>
    <row r="56" spans="86:100" ht="19.5" thickBot="1" x14ac:dyDescent="0.3">
      <c r="CH56" s="4">
        <v>54</v>
      </c>
      <c r="CI56" s="4">
        <v>0</v>
      </c>
      <c r="CJ56" s="4">
        <v>1</v>
      </c>
      <c r="CK56" s="27"/>
      <c r="CL56" s="4"/>
      <c r="CM56" s="4"/>
      <c r="CN56" s="4"/>
      <c r="CO56" s="4"/>
      <c r="CP56" s="4"/>
      <c r="CQ56" s="4"/>
      <c r="CR56" s="4"/>
      <c r="CS56" s="4"/>
      <c r="CT56" s="4"/>
      <c r="CU56" s="4">
        <v>7</v>
      </c>
      <c r="CV56" s="4"/>
    </row>
    <row r="57" spans="86:100" ht="19.5" thickBot="1" x14ac:dyDescent="0.3">
      <c r="CH57" s="4">
        <v>55</v>
      </c>
      <c r="CI57" s="4">
        <v>0</v>
      </c>
      <c r="CJ57" s="4">
        <v>1</v>
      </c>
      <c r="CK57" s="5">
        <v>0</v>
      </c>
      <c r="CL57" s="4"/>
      <c r="CM57" s="4"/>
      <c r="CN57" s="4"/>
      <c r="CO57" s="4"/>
      <c r="CP57" s="4"/>
      <c r="CQ57" s="4"/>
      <c r="CR57" s="4"/>
      <c r="CS57" s="4"/>
      <c r="CT57" s="4"/>
      <c r="CU57" s="4">
        <v>4</v>
      </c>
      <c r="CV57" s="4"/>
    </row>
    <row r="58" spans="86:100" ht="19.5" thickBot="1" x14ac:dyDescent="0.3">
      <c r="CH58" s="4">
        <v>56</v>
      </c>
      <c r="CI58" s="4">
        <v>0</v>
      </c>
      <c r="CJ58" s="4">
        <v>1</v>
      </c>
      <c r="CK58" s="5">
        <v>0</v>
      </c>
      <c r="CL58" s="4">
        <v>0</v>
      </c>
      <c r="CM58" s="4"/>
      <c r="CN58" s="4"/>
      <c r="CO58" s="4"/>
      <c r="CP58" s="4"/>
      <c r="CQ58" s="4"/>
      <c r="CR58" s="4"/>
      <c r="CS58" s="4"/>
      <c r="CT58" s="4"/>
      <c r="CU58" s="4">
        <v>2</v>
      </c>
      <c r="CV58" s="4"/>
    </row>
    <row r="59" spans="86:100" ht="19.5" thickBot="1" x14ac:dyDescent="0.3">
      <c r="CH59" s="4">
        <v>57</v>
      </c>
      <c r="CI59" s="4">
        <v>0</v>
      </c>
      <c r="CJ59" s="4">
        <v>1</v>
      </c>
      <c r="CK59" s="5">
        <v>0</v>
      </c>
      <c r="CL59" s="4">
        <v>0</v>
      </c>
      <c r="CM59" s="4">
        <v>1</v>
      </c>
      <c r="CN59" s="4"/>
      <c r="CO59" s="4"/>
      <c r="CP59" s="4"/>
      <c r="CQ59" s="4"/>
      <c r="CR59" s="4"/>
      <c r="CS59" s="4"/>
      <c r="CT59" s="4"/>
      <c r="CU59" s="4">
        <v>1</v>
      </c>
      <c r="CV59" s="4" t="s">
        <v>18</v>
      </c>
    </row>
    <row r="60" spans="86:100" ht="19.5" thickBot="1" x14ac:dyDescent="0.3">
      <c r="CH60" s="4">
        <v>58</v>
      </c>
      <c r="CI60" s="4">
        <v>1</v>
      </c>
      <c r="CJ60" s="4">
        <v>0</v>
      </c>
      <c r="CK60" s="27"/>
      <c r="CL60" s="4"/>
      <c r="CM60" s="4"/>
      <c r="CN60" s="4"/>
      <c r="CO60" s="4"/>
      <c r="CP60" s="4"/>
      <c r="CQ60" s="4"/>
      <c r="CR60" s="4"/>
      <c r="CS60" s="4"/>
      <c r="CT60" s="4"/>
      <c r="CU60" s="4">
        <v>1</v>
      </c>
      <c r="CV60" s="4" t="s">
        <v>19</v>
      </c>
    </row>
    <row r="61" spans="86:100" ht="19.5" thickBot="1" x14ac:dyDescent="0.3">
      <c r="CH61" s="4">
        <v>59</v>
      </c>
      <c r="CI61" s="4">
        <v>0</v>
      </c>
      <c r="CJ61" s="4">
        <v>0</v>
      </c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>
        <v>41</v>
      </c>
      <c r="CV61" s="4"/>
    </row>
    <row r="62" spans="86:100" ht="19.5" thickBot="1" x14ac:dyDescent="0.3">
      <c r="CH62" s="4">
        <v>60</v>
      </c>
      <c r="CI62" s="4">
        <v>0</v>
      </c>
      <c r="CJ62" s="4">
        <v>0</v>
      </c>
      <c r="CK62" s="5">
        <v>1</v>
      </c>
      <c r="CL62" s="4"/>
      <c r="CM62" s="4"/>
      <c r="CN62" s="4"/>
      <c r="CO62" s="4"/>
      <c r="CP62" s="4"/>
      <c r="CQ62" s="4"/>
      <c r="CR62" s="4"/>
      <c r="CS62" s="4"/>
      <c r="CT62" s="4"/>
      <c r="CU62" s="4">
        <v>7</v>
      </c>
      <c r="CV62" s="4"/>
    </row>
    <row r="63" spans="86:100" ht="19.5" thickBot="1" x14ac:dyDescent="0.3">
      <c r="CH63" s="4">
        <v>61</v>
      </c>
      <c r="CI63" s="4">
        <v>0</v>
      </c>
      <c r="CJ63" s="4">
        <v>0</v>
      </c>
      <c r="CK63" s="5">
        <v>1</v>
      </c>
      <c r="CL63" s="4">
        <v>1</v>
      </c>
      <c r="CM63" s="4"/>
      <c r="CN63" s="4"/>
      <c r="CO63" s="4"/>
      <c r="CP63" s="4"/>
      <c r="CQ63" s="4"/>
      <c r="CR63" s="4"/>
      <c r="CS63" s="4"/>
      <c r="CT63" s="4"/>
      <c r="CU63" s="4">
        <v>3</v>
      </c>
      <c r="CV63" s="4"/>
    </row>
    <row r="64" spans="86:100" ht="19.5" thickBot="1" x14ac:dyDescent="0.3">
      <c r="CH64" s="4">
        <v>62</v>
      </c>
      <c r="CI64" s="4">
        <v>0</v>
      </c>
      <c r="CJ64" s="4">
        <v>0</v>
      </c>
      <c r="CK64" s="5">
        <v>1</v>
      </c>
      <c r="CL64" s="4">
        <v>1</v>
      </c>
      <c r="CM64" s="4">
        <v>0</v>
      </c>
      <c r="CN64" s="4"/>
      <c r="CO64" s="4"/>
      <c r="CP64" s="4"/>
      <c r="CQ64" s="4"/>
      <c r="CR64" s="4"/>
      <c r="CS64" s="4"/>
      <c r="CT64" s="4"/>
      <c r="CU64" s="4">
        <v>2</v>
      </c>
      <c r="CV64" s="4"/>
    </row>
    <row r="65" spans="86:100" ht="19.5" thickBot="1" x14ac:dyDescent="0.3">
      <c r="CH65" s="4">
        <v>63</v>
      </c>
      <c r="CI65" s="4">
        <v>0</v>
      </c>
      <c r="CJ65" s="4">
        <v>0</v>
      </c>
      <c r="CK65" s="5">
        <v>1</v>
      </c>
      <c r="CL65" s="4">
        <v>1</v>
      </c>
      <c r="CM65" s="4">
        <v>0</v>
      </c>
      <c r="CN65" s="4">
        <v>0</v>
      </c>
      <c r="CO65" s="4"/>
      <c r="CP65" s="4"/>
      <c r="CQ65" s="4"/>
      <c r="CR65" s="4"/>
      <c r="CS65" s="4"/>
      <c r="CT65" s="4"/>
      <c r="CU65" s="4">
        <v>1</v>
      </c>
      <c r="CV65" s="4" t="s">
        <v>7</v>
      </c>
    </row>
    <row r="66" spans="86:100" ht="19.5" thickBot="1" x14ac:dyDescent="0.3">
      <c r="CH66" s="4">
        <v>64</v>
      </c>
      <c r="CI66" s="4">
        <v>0</v>
      </c>
      <c r="CJ66" s="4">
        <v>1</v>
      </c>
      <c r="CK66" s="27"/>
      <c r="CL66" s="4"/>
      <c r="CM66" s="4"/>
      <c r="CN66" s="4"/>
      <c r="CO66" s="4"/>
      <c r="CP66" s="4"/>
      <c r="CQ66" s="4"/>
      <c r="CR66" s="4"/>
      <c r="CS66" s="4"/>
      <c r="CT66" s="4"/>
      <c r="CU66" s="4">
        <v>7</v>
      </c>
      <c r="CV66" s="4"/>
    </row>
    <row r="67" spans="86:100" ht="19.5" thickBot="1" x14ac:dyDescent="0.3">
      <c r="CH67" s="4">
        <v>65</v>
      </c>
      <c r="CI67" s="4">
        <v>0</v>
      </c>
      <c r="CJ67" s="4">
        <v>1</v>
      </c>
      <c r="CK67" s="5">
        <v>1</v>
      </c>
      <c r="CL67" s="4"/>
      <c r="CM67" s="4"/>
      <c r="CN67" s="4"/>
      <c r="CO67" s="4"/>
      <c r="CP67" s="4"/>
      <c r="CQ67" s="4"/>
      <c r="CR67" s="4"/>
      <c r="CS67" s="4"/>
      <c r="CT67" s="4"/>
      <c r="CU67" s="4">
        <v>3</v>
      </c>
      <c r="CV67" s="4"/>
    </row>
    <row r="68" spans="86:100" ht="19.5" thickBot="1" x14ac:dyDescent="0.3">
      <c r="CH68" s="4">
        <v>66</v>
      </c>
      <c r="CI68" s="4">
        <v>0</v>
      </c>
      <c r="CJ68" s="4">
        <v>1</v>
      </c>
      <c r="CK68" s="5">
        <v>1</v>
      </c>
      <c r="CL68" s="4">
        <v>0</v>
      </c>
      <c r="CM68" s="4"/>
      <c r="CN68" s="4"/>
      <c r="CO68" s="4"/>
      <c r="CP68" s="4"/>
      <c r="CQ68" s="4"/>
      <c r="CR68" s="4"/>
      <c r="CS68" s="4"/>
      <c r="CT68" s="4"/>
      <c r="CU68" s="4">
        <v>2</v>
      </c>
      <c r="CV68" s="4"/>
    </row>
    <row r="69" spans="86:100" ht="19.5" thickBot="1" x14ac:dyDescent="0.3">
      <c r="CH69" s="4">
        <v>67</v>
      </c>
      <c r="CI69" s="4">
        <v>0</v>
      </c>
      <c r="CJ69" s="4">
        <v>1</v>
      </c>
      <c r="CK69" s="5">
        <v>1</v>
      </c>
      <c r="CL69" s="4">
        <v>0</v>
      </c>
      <c r="CM69" s="4">
        <v>0</v>
      </c>
      <c r="CN69" s="4"/>
      <c r="CO69" s="4"/>
      <c r="CP69" s="4"/>
      <c r="CQ69" s="4"/>
      <c r="CR69" s="4"/>
      <c r="CS69" s="4"/>
      <c r="CT69" s="4"/>
      <c r="CU69" s="4">
        <v>1</v>
      </c>
      <c r="CV69" s="4" t="s">
        <v>5</v>
      </c>
    </row>
  </sheetData>
  <mergeCells count="19">
    <mergeCell ref="CI2:CT2"/>
    <mergeCell ref="BJ1:BN1"/>
    <mergeCell ref="BO1:BS1"/>
    <mergeCell ref="BT1:BU1"/>
    <mergeCell ref="BV1:CA1"/>
    <mergeCell ref="CB1:CF1"/>
    <mergeCell ref="A2:CF2"/>
    <mergeCell ref="AF1:AK1"/>
    <mergeCell ref="AL1:AM1"/>
    <mergeCell ref="AN1:AW1"/>
    <mergeCell ref="AX1:BA1"/>
    <mergeCell ref="BB1:BG1"/>
    <mergeCell ref="BH1:BI1"/>
    <mergeCell ref="A1:F1"/>
    <mergeCell ref="G1:H1"/>
    <mergeCell ref="I1:P1"/>
    <mergeCell ref="Q1:V1"/>
    <mergeCell ref="W1:AC1"/>
    <mergeCell ref="AD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Shv31cAr hentI</dc:creator>
  <cp:lastModifiedBy>Shv31cAr hentI</cp:lastModifiedBy>
  <dcterms:created xsi:type="dcterms:W3CDTF">2015-06-05T18:17:20Z</dcterms:created>
  <dcterms:modified xsi:type="dcterms:W3CDTF">2023-10-30T11:22:46Z</dcterms:modified>
</cp:coreProperties>
</file>
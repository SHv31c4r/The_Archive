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v31\Desktop\"/>
    </mc:Choice>
  </mc:AlternateContent>
  <xr:revisionPtr revIDLastSave="0" documentId="13_ncr:1_{E7E4914F-6E33-4264-8DA1-359888230799}" xr6:coauthVersionLast="47" xr6:coauthVersionMax="47" xr10:uidLastSave="{00000000-0000-0000-0000-000000000000}"/>
  <bookViews>
    <workbookView xWindow="-120" yWindow="-120" windowWidth="29040" windowHeight="15720" xr2:uid="{D73D445B-D034-4E81-BF2E-1A7F55BEEBBA}"/>
  </bookViews>
  <sheets>
    <sheet name="Таблица" sheetId="1" r:id="rId1"/>
    <sheet name="ДИАГРАММА" sheetId="2" r:id="rId2"/>
    <sheet name="ГИСТОГРАММА СР.БАЛЛ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5" i="1"/>
  <c r="I6" i="1"/>
  <c r="K6" i="1" s="1"/>
  <c r="I7" i="1"/>
  <c r="I8" i="1"/>
  <c r="K8" i="1" s="1"/>
  <c r="K7" i="1"/>
  <c r="K5" i="1"/>
  <c r="F10" i="1"/>
  <c r="G10" i="1"/>
  <c r="H10" i="1"/>
  <c r="E10" i="1"/>
  <c r="K3" i="1"/>
  <c r="I3" i="1"/>
  <c r="D4" i="1"/>
  <c r="D5" i="1"/>
  <c r="D6" i="1"/>
  <c r="D7" i="1"/>
  <c r="D8" i="1"/>
  <c r="D3" i="1"/>
  <c r="O4" i="1" l="1"/>
  <c r="O5" i="1" s="1"/>
  <c r="K4" i="1"/>
  <c r="I10" i="1"/>
  <c r="O3" i="1"/>
</calcChain>
</file>

<file path=xl/sharedStrings.xml><?xml version="1.0" encoding="utf-8"?>
<sst xmlns="http://schemas.openxmlformats.org/spreadsheetml/2006/main" count="27" uniqueCount="24">
  <si>
    <t>Фамилия Имя Отчество</t>
  </si>
  <si>
    <t>Город рождения</t>
  </si>
  <si>
    <t>Дата рождения</t>
  </si>
  <si>
    <t>Оценки по курсу</t>
  </si>
  <si>
    <t>Информатика</t>
  </si>
  <si>
    <t>Линейная алгебра</t>
  </si>
  <si>
    <t>Культурология</t>
  </si>
  <si>
    <t>Психология</t>
  </si>
  <si>
    <t>Иванов Иван Иванович</t>
  </si>
  <si>
    <t>Санкт-Петербург</t>
  </si>
  <si>
    <t>Лапушкин Валерий Федорофич</t>
  </si>
  <si>
    <t>Калиточкин Михаил Сергеевич</t>
  </si>
  <si>
    <t>Мурманск</t>
  </si>
  <si>
    <t>н/я</t>
  </si>
  <si>
    <t>Зинаев Дмитрий Алексеевич</t>
  </si>
  <si>
    <t>Архангельск</t>
  </si>
  <si>
    <t>Валюшин Роман Капитонович</t>
  </si>
  <si>
    <t>Калининград</t>
  </si>
  <si>
    <t>Завитушкин Владимир Ильич</t>
  </si>
  <si>
    <t>Возраст</t>
  </si>
  <si>
    <t>Средний балл</t>
  </si>
  <si>
    <t>5</t>
  </si>
  <si>
    <t>4-5</t>
  </si>
  <si>
    <t>&lt;4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</si>
</sst>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Courier New"/>
      <family val="3"/>
      <charset val="204"/>
    </font>
    <font>
      <b/>
      <sz val="16"/>
      <color theme="1"/>
      <name val="Century Gothic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horizontal="right" vertical="top"/>
    </xf>
    <xf numFmtId="14" fontId="2" fillId="0" borderId="1" xfId="0" applyNumberFormat="1" applyFont="1" applyBorder="1" applyAlignment="1">
      <alignment horizontal="right" vertical="top"/>
    </xf>
    <xf numFmtId="22" fontId="0" fillId="0" borderId="0" xfId="0" applyNumberFormat="1"/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2" fontId="2" fillId="0" borderId="1" xfId="0" applyNumberFormat="1" applyFont="1" applyBorder="1" applyAlignment="1">
      <alignment horizontal="right" vertical="top"/>
    </xf>
    <xf numFmtId="0" fontId="2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2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horizontal="right"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4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среднего балла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3C-467A-875D-A40AEBAC66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3C-467A-875D-A40AEBAC66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3C-467A-875D-A40AEBAC669C}"/>
              </c:ext>
            </c:extLst>
          </c:dPt>
          <c:cat>
            <c:strRef>
              <c:f>Таблица!$N$3:$N$5</c:f>
              <c:strCache>
                <c:ptCount val="3"/>
                <c:pt idx="0">
                  <c:v>5</c:v>
                </c:pt>
                <c:pt idx="1">
                  <c:v>4-5</c:v>
                </c:pt>
                <c:pt idx="2">
                  <c:v>&lt;4</c:v>
                </c:pt>
              </c:strCache>
            </c:strRef>
          </c:cat>
          <c:val>
            <c:numRef>
              <c:f>Таблица!$O$3:$O$5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3C-467A-875D-A40AEBAC6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>
                <a:solidFill>
                  <a:schemeClr val="bg2">
                    <a:lumMod val="50000"/>
                  </a:schemeClr>
                </a:solidFill>
                <a:latin typeface="+mn-lt"/>
              </a:rPr>
              <a:t>Средний балл по предмету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Таблица!$E$2:$H$2</c:f>
              <c:strCache>
                <c:ptCount val="4"/>
                <c:pt idx="0">
                  <c:v>Информатика</c:v>
                </c:pt>
                <c:pt idx="1">
                  <c:v>Линейная алгебра</c:v>
                </c:pt>
                <c:pt idx="2">
                  <c:v>Культурология</c:v>
                </c:pt>
                <c:pt idx="3">
                  <c:v>Психология</c:v>
                </c:pt>
              </c:strCache>
            </c:strRef>
          </c:cat>
          <c:val>
            <c:numRef>
              <c:f>Таблица!$E$10:$H$10</c:f>
              <c:numCache>
                <c:formatCode>0.00</c:formatCode>
                <c:ptCount val="4"/>
                <c:pt idx="0">
                  <c:v>4.2</c:v>
                </c:pt>
                <c:pt idx="1">
                  <c:v>4</c:v>
                </c:pt>
                <c:pt idx="2">
                  <c:v>4</c:v>
                </c:pt>
                <c:pt idx="3">
                  <c:v>4.333333333333333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70-4965-9219-119DB3BF0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935856"/>
        <c:axId val="467937656"/>
      </c:barChart>
      <c:catAx>
        <c:axId val="46793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7937656"/>
        <c:crosses val="autoZero"/>
        <c:auto val="1"/>
        <c:lblAlgn val="ctr"/>
        <c:lblOffset val="100"/>
        <c:noMultiLvlLbl val="0"/>
      </c:catAx>
      <c:valAx>
        <c:axId val="467937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793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238125</xdr:colOff>
      <xdr:row>19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E82D449-D74A-450C-82C3-52F7E8847F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85724</xdr:rowOff>
    </xdr:from>
    <xdr:to>
      <xdr:col>11</xdr:col>
      <xdr:colOff>457200</xdr:colOff>
      <xdr:row>19</xdr:row>
      <xdr:rowOff>47625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0CD15CA-B5AC-4B20-A1F1-B1A57F2112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ABCBD-7533-4CE0-978B-68A5E6BBEFD2}">
  <dimension ref="A1:O18"/>
  <sheetViews>
    <sheetView tabSelected="1" zoomScaleNormal="100" workbookViewId="0">
      <pane ySplit="2" topLeftCell="A3" activePane="bottomLeft" state="frozen"/>
      <selection pane="bottomLeft" activeCell="K10" sqref="K10"/>
    </sheetView>
  </sheetViews>
  <sheetFormatPr defaultRowHeight="15" x14ac:dyDescent="0.25"/>
  <cols>
    <col min="1" max="1" width="52.28515625" bestFit="1" customWidth="1"/>
    <col min="2" max="2" width="29.7109375" bestFit="1" customWidth="1"/>
    <col min="3" max="3" width="22.5703125" bestFit="1" customWidth="1"/>
    <col min="4" max="4" width="19.28515625" bestFit="1" customWidth="1"/>
    <col min="5" max="6" width="27.5703125" bestFit="1" customWidth="1"/>
    <col min="7" max="7" width="22.5703125" bestFit="1" customWidth="1"/>
    <col min="8" max="8" width="17.7109375" bestFit="1" customWidth="1"/>
    <col min="9" max="9" width="21" bestFit="1" customWidth="1"/>
  </cols>
  <sheetData>
    <row r="1" spans="1:15" ht="18.75" x14ac:dyDescent="0.25">
      <c r="A1" s="5" t="s">
        <v>0</v>
      </c>
      <c r="B1" s="5" t="s">
        <v>1</v>
      </c>
      <c r="C1" s="13" t="s">
        <v>2</v>
      </c>
      <c r="D1" s="13" t="s">
        <v>19</v>
      </c>
      <c r="E1" s="14" t="s">
        <v>3</v>
      </c>
      <c r="F1" s="15"/>
      <c r="G1" s="15"/>
      <c r="H1" s="15"/>
      <c r="I1" s="15"/>
      <c r="J1" s="17"/>
    </row>
    <row r="2" spans="1:15" ht="18.75" x14ac:dyDescent="0.25">
      <c r="A2" s="5"/>
      <c r="B2" s="5"/>
      <c r="C2" s="13"/>
      <c r="D2" s="13"/>
      <c r="E2" s="16" t="s">
        <v>4</v>
      </c>
      <c r="F2" s="16" t="s">
        <v>5</v>
      </c>
      <c r="G2" s="16" t="s">
        <v>6</v>
      </c>
      <c r="H2" s="16" t="s">
        <v>7</v>
      </c>
      <c r="I2" s="16" t="s">
        <v>20</v>
      </c>
      <c r="L2" s="7"/>
      <c r="M2" s="7"/>
    </row>
    <row r="3" spans="1:15" ht="20.25" x14ac:dyDescent="0.25">
      <c r="A3" s="2" t="s">
        <v>8</v>
      </c>
      <c r="B3" s="2" t="s">
        <v>9</v>
      </c>
      <c r="C3" s="3">
        <v>39345</v>
      </c>
      <c r="D3" s="2">
        <f ca="1">YEAR(NOW())-YEAR(C3)</f>
        <v>16</v>
      </c>
      <c r="E3" s="2">
        <v>5</v>
      </c>
      <c r="F3" s="2">
        <v>3</v>
      </c>
      <c r="G3" s="2">
        <v>4</v>
      </c>
      <c r="H3" s="2">
        <v>4</v>
      </c>
      <c r="I3" s="8">
        <f>AVERAGE(E3:H3)</f>
        <v>4</v>
      </c>
      <c r="J3" s="10"/>
      <c r="K3" s="9">
        <f>I3*$K$10</f>
        <v>9.6</v>
      </c>
      <c r="N3" s="12" t="s">
        <v>21</v>
      </c>
      <c r="O3" s="9">
        <f>COUNTIF($I$3:$I$8,"=5")</f>
        <v>1</v>
      </c>
    </row>
    <row r="4" spans="1:15" ht="20.25" x14ac:dyDescent="0.25">
      <c r="A4" s="2" t="s">
        <v>10</v>
      </c>
      <c r="B4" s="2" t="s">
        <v>9</v>
      </c>
      <c r="C4" s="3">
        <v>38944</v>
      </c>
      <c r="D4" s="2">
        <f t="shared" ref="D4:D8" ca="1" si="0">YEAR(NOW())-YEAR(C4)</f>
        <v>17</v>
      </c>
      <c r="E4" s="2">
        <v>4</v>
      </c>
      <c r="F4" s="2">
        <v>4</v>
      </c>
      <c r="G4" s="2">
        <v>4</v>
      </c>
      <c r="H4" s="2">
        <v>4</v>
      </c>
      <c r="I4" s="8">
        <f t="shared" ref="I4:I8" si="1">AVERAGE(E4:H4)</f>
        <v>4</v>
      </c>
      <c r="J4" s="10"/>
      <c r="K4" s="9">
        <f>I4*$K$10</f>
        <v>9.6</v>
      </c>
      <c r="N4" s="12" t="s">
        <v>22</v>
      </c>
      <c r="O4" s="9">
        <f>COUNTIF($I$3:$I$8,"&lt;=4")</f>
        <v>4</v>
      </c>
    </row>
    <row r="5" spans="1:15" ht="20.25" x14ac:dyDescent="0.25">
      <c r="A5" s="2" t="s">
        <v>11</v>
      </c>
      <c r="B5" s="2" t="s">
        <v>12</v>
      </c>
      <c r="C5" s="3">
        <v>38052</v>
      </c>
      <c r="D5" s="2">
        <f t="shared" ca="1" si="0"/>
        <v>19</v>
      </c>
      <c r="E5" s="2" t="s">
        <v>13</v>
      </c>
      <c r="F5" s="2">
        <v>3</v>
      </c>
      <c r="G5" s="2">
        <v>4</v>
      </c>
      <c r="H5" s="2">
        <v>4</v>
      </c>
      <c r="I5" s="8">
        <f t="shared" si="1"/>
        <v>3.6666666666666665</v>
      </c>
      <c r="J5" s="10"/>
      <c r="K5" s="9">
        <f>I5*$K$10</f>
        <v>8.7999999999999989</v>
      </c>
      <c r="N5" s="12" t="s">
        <v>23</v>
      </c>
      <c r="O5" s="11">
        <f>COUNTIF($I$3:$I$8,"&lt;5")-O4</f>
        <v>1</v>
      </c>
    </row>
    <row r="6" spans="1:15" ht="20.25" x14ac:dyDescent="0.25">
      <c r="A6" s="2" t="s">
        <v>14</v>
      </c>
      <c r="B6" s="2" t="s">
        <v>15</v>
      </c>
      <c r="C6" s="3">
        <v>39075</v>
      </c>
      <c r="D6" s="2">
        <f t="shared" ca="1" si="0"/>
        <v>17</v>
      </c>
      <c r="E6" s="2">
        <v>5</v>
      </c>
      <c r="F6" s="2">
        <v>5</v>
      </c>
      <c r="G6" s="2">
        <v>5</v>
      </c>
      <c r="H6" s="2">
        <v>5</v>
      </c>
      <c r="I6" s="8">
        <f t="shared" si="1"/>
        <v>5</v>
      </c>
      <c r="J6" s="10"/>
      <c r="K6" s="9">
        <f>I6*$K$10</f>
        <v>12</v>
      </c>
      <c r="L6" s="10"/>
      <c r="M6" s="9"/>
    </row>
    <row r="7" spans="1:15" ht="20.25" x14ac:dyDescent="0.25">
      <c r="A7" s="2" t="s">
        <v>16</v>
      </c>
      <c r="B7" s="2" t="s">
        <v>17</v>
      </c>
      <c r="C7" s="3">
        <v>39124</v>
      </c>
      <c r="D7" s="2">
        <f t="shared" ca="1" si="0"/>
        <v>16</v>
      </c>
      <c r="E7" s="2">
        <v>3</v>
      </c>
      <c r="F7" s="2" t="s">
        <v>13</v>
      </c>
      <c r="G7" s="2">
        <v>4</v>
      </c>
      <c r="H7" s="2">
        <v>4</v>
      </c>
      <c r="I7" s="8">
        <f t="shared" si="1"/>
        <v>3.6666666666666665</v>
      </c>
      <c r="J7" s="10"/>
      <c r="K7" s="9">
        <f>I7*$K$10</f>
        <v>8.7999999999999989</v>
      </c>
      <c r="L7" s="10"/>
      <c r="M7" s="9"/>
    </row>
    <row r="8" spans="1:15" ht="20.25" x14ac:dyDescent="0.25">
      <c r="A8" s="2" t="s">
        <v>18</v>
      </c>
      <c r="B8" s="2" t="s">
        <v>9</v>
      </c>
      <c r="C8" s="3">
        <v>38977</v>
      </c>
      <c r="D8" s="2">
        <f t="shared" ca="1" si="0"/>
        <v>17</v>
      </c>
      <c r="E8" s="2">
        <v>4</v>
      </c>
      <c r="F8" s="2">
        <v>5</v>
      </c>
      <c r="G8" s="2">
        <v>3</v>
      </c>
      <c r="H8" s="2">
        <v>5</v>
      </c>
      <c r="I8" s="8">
        <f t="shared" si="1"/>
        <v>4.25</v>
      </c>
      <c r="J8" s="10"/>
      <c r="K8" s="9">
        <f>I8*$K$10</f>
        <v>10.199999999999999</v>
      </c>
      <c r="L8" s="10"/>
      <c r="M8" s="9"/>
    </row>
    <row r="9" spans="1:15" x14ac:dyDescent="0.25"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5" ht="20.25" x14ac:dyDescent="0.3">
      <c r="C10" s="10"/>
      <c r="D10" s="10"/>
      <c r="E10" s="8">
        <f>AVERAGE(E3:E8)</f>
        <v>4.2</v>
      </c>
      <c r="F10" s="8">
        <f t="shared" ref="F10:I10" si="2">AVERAGE(F3:F8)</f>
        <v>4</v>
      </c>
      <c r="G10" s="8">
        <f t="shared" si="2"/>
        <v>4</v>
      </c>
      <c r="H10" s="8">
        <f t="shared" si="2"/>
        <v>4.333333333333333</v>
      </c>
      <c r="I10" s="8">
        <f t="shared" si="2"/>
        <v>4.0972222222222223</v>
      </c>
      <c r="J10" s="10"/>
      <c r="K10" s="6">
        <v>2.4</v>
      </c>
      <c r="L10" s="10"/>
      <c r="M10" s="10"/>
    </row>
    <row r="11" spans="1:15" x14ac:dyDescent="0.25"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5" x14ac:dyDescent="0.25"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5" spans="1:15" x14ac:dyDescent="0.25">
      <c r="D15" s="1"/>
      <c r="E15" s="1"/>
    </row>
    <row r="18" spans="5:5" x14ac:dyDescent="0.25">
      <c r="E18" s="4"/>
    </row>
  </sheetData>
  <mergeCells count="5">
    <mergeCell ref="D1:D2"/>
    <mergeCell ref="A1:A2"/>
    <mergeCell ref="B1:B2"/>
    <mergeCell ref="C1:C2"/>
    <mergeCell ref="E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ABF3A-A8FD-4104-981A-6752CBD07C82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DCFB5-16C5-4E20-A326-F44840C35FAB}">
  <dimension ref="A1"/>
  <sheetViews>
    <sheetView workbookViewId="0">
      <selection activeCell="O13" sqref="O1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Таблица</vt:lpstr>
      <vt:lpstr>ДИАГРАММА</vt:lpstr>
      <vt:lpstr>ГИСТОГРАММА СР.БАЛЛ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Shv31cAr hentI</dc:creator>
  <cp:lastModifiedBy>Shv31cAr hentI</cp:lastModifiedBy>
  <dcterms:created xsi:type="dcterms:W3CDTF">2023-09-25T10:25:00Z</dcterms:created>
  <dcterms:modified xsi:type="dcterms:W3CDTF">2023-09-25T16:52:00Z</dcterms:modified>
</cp:coreProperties>
</file>